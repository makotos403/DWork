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kimae2025_8\SZKDocument\ソフトウェアテスト基礎_テキスト\"/>
    </mc:Choice>
  </mc:AlternateContent>
  <xr:revisionPtr revIDLastSave="0" documentId="13_ncr:1_{0776FCFF-F5DE-4542-9C1A-F190B168DA81}" xr6:coauthVersionLast="47" xr6:coauthVersionMax="47" xr10:uidLastSave="{00000000-0000-0000-0000-000000000000}"/>
  <bookViews>
    <workbookView xWindow="144" yWindow="3468" windowWidth="22800" windowHeight="8640" tabRatio="697" activeTab="3" xr2:uid="{00000000-000D-0000-FFFF-FFFF00000000}"/>
  </bookViews>
  <sheets>
    <sheet name="表紙" sheetId="4" r:id="rId1"/>
    <sheet name="更新履歴" sheetId="5" r:id="rId2"/>
    <sheet name="集計" sheetId="1" r:id="rId3"/>
    <sheet name="確認項目一覧" sheetId="2" r:id="rId4"/>
    <sheet name="データ定義" sheetId="6" r:id="rId5"/>
  </sheets>
  <definedNames>
    <definedName name="_xlnm.Print_Area" localSheetId="1">更新履歴!$A$1:$AN$65</definedName>
    <definedName name="_xlnm.Print_Area" localSheetId="2">集計!$A$1:$AN$64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1" i="1" s="1"/>
  <c r="AB19" i="1"/>
  <c r="AB21" i="1" s="1"/>
  <c r="B46" i="2"/>
  <c r="B45" i="2"/>
  <c r="B44" i="2"/>
  <c r="B43" i="2"/>
  <c r="B42" i="2"/>
  <c r="B41" i="2"/>
  <c r="B47" i="2"/>
  <c r="B40" i="2"/>
  <c r="B36" i="2"/>
  <c r="B35" i="2"/>
  <c r="B38" i="2"/>
  <c r="B37" i="2"/>
  <c r="B32" i="2"/>
  <c r="B31" i="2"/>
  <c r="B30" i="2"/>
  <c r="B29" i="2"/>
  <c r="B28" i="2"/>
  <c r="B27" i="2"/>
  <c r="B26" i="2"/>
  <c r="B34" i="2"/>
  <c r="B33" i="2"/>
  <c r="B39" i="2"/>
  <c r="B11" i="2"/>
  <c r="B10" i="2"/>
  <c r="B13" i="2"/>
  <c r="B9" i="2"/>
  <c r="B25" i="2"/>
  <c r="B24" i="2"/>
  <c r="B23" i="2"/>
  <c r="B22" i="2"/>
  <c r="B21" i="2"/>
  <c r="B20" i="2"/>
  <c r="B19" i="2"/>
  <c r="B18" i="2"/>
  <c r="B17" i="2"/>
  <c r="B16" i="2"/>
  <c r="B15" i="2"/>
  <c r="B14" i="2"/>
  <c r="B12" i="2"/>
  <c r="B8" i="2"/>
  <c r="E41" i="2"/>
  <c r="F21" i="2"/>
  <c r="F31" i="2"/>
  <c r="F36" i="2"/>
  <c r="F33" i="2"/>
  <c r="F41" i="2"/>
  <c r="F23" i="2"/>
  <c r="F38" i="2"/>
  <c r="F25" i="2"/>
  <c r="AC1" i="5" l="1"/>
  <c r="AK1" i="5"/>
  <c r="F42" i="2"/>
  <c r="E42" i="2"/>
  <c r="F26" i="2"/>
  <c r="F39" i="2"/>
  <c r="F34" i="2"/>
  <c r="B7" i="2" l="1"/>
  <c r="E43" i="2"/>
  <c r="F28" i="2"/>
  <c r="F43" i="2"/>
  <c r="G17" i="4" l="1"/>
  <c r="M52" i="4"/>
  <c r="AK2" i="5"/>
  <c r="AK2" i="1" s="1"/>
  <c r="AA4" i="1"/>
  <c r="G4" i="1"/>
  <c r="G1" i="1"/>
  <c r="G3" i="1"/>
  <c r="U1" i="1"/>
  <c r="U2" i="1"/>
  <c r="AK1" i="1"/>
  <c r="AC1" i="1"/>
  <c r="M50" i="4"/>
  <c r="B6" i="2"/>
  <c r="AC2" i="5"/>
  <c r="M54" i="4" s="1"/>
  <c r="F44" i="2"/>
  <c r="F29" i="2"/>
  <c r="F6" i="2"/>
  <c r="D6" i="2"/>
  <c r="C6" i="2"/>
  <c r="E6" i="2"/>
  <c r="E44" i="2"/>
  <c r="AC2" i="1" l="1"/>
  <c r="F45" i="2"/>
  <c r="F17" i="2"/>
  <c r="C7" i="2"/>
  <c r="E17" i="2"/>
  <c r="E7" i="2"/>
  <c r="E45" i="2"/>
  <c r="E46" i="2" s="1"/>
  <c r="D7" i="2"/>
  <c r="B5" i="2" l="1"/>
  <c r="E8" i="2"/>
  <c r="F19" i="2"/>
  <c r="F46" i="2"/>
  <c r="E18" i="2"/>
  <c r="C8" i="2"/>
  <c r="D8" i="2"/>
  <c r="E47" i="2"/>
  <c r="H17" i="1" l="1"/>
  <c r="AB17" i="1"/>
  <c r="D9" i="2"/>
  <c r="E9" i="2"/>
  <c r="E10" i="2"/>
  <c r="F47" i="2"/>
  <c r="C9" i="2"/>
  <c r="E19" i="2"/>
  <c r="D10" i="2"/>
  <c r="C10" i="2"/>
  <c r="C11" i="2" s="1"/>
  <c r="E20" i="2"/>
  <c r="E21" i="2"/>
  <c r="E22" i="2" s="1"/>
  <c r="C12" i="2"/>
  <c r="C13" i="2" s="1"/>
  <c r="D11" i="2"/>
  <c r="D12" i="2" s="1"/>
  <c r="D13" i="2" s="1"/>
  <c r="E11" i="2"/>
  <c r="E12" i="2" s="1"/>
  <c r="E13" i="2"/>
  <c r="D14" i="2"/>
  <c r="D15" i="2" s="1"/>
  <c r="D16" i="2" s="1"/>
  <c r="D17" i="2" s="1"/>
  <c r="D18" i="2" s="1"/>
  <c r="E23" i="2"/>
  <c r="C14" i="2"/>
  <c r="E14" i="2"/>
  <c r="C15" i="2"/>
  <c r="D19" i="2"/>
  <c r="E24" i="2"/>
  <c r="E25" i="2" s="1"/>
  <c r="E26" i="2"/>
  <c r="E27" i="2" s="1"/>
  <c r="E28" i="2" s="1"/>
  <c r="E29" i="2" s="1"/>
  <c r="E30" i="2" s="1"/>
  <c r="E31" i="2" s="1"/>
  <c r="E32" i="2" s="1"/>
  <c r="D20" i="2"/>
  <c r="D21" i="2" s="1"/>
  <c r="D22" i="2" s="1"/>
  <c r="D23" i="2" s="1"/>
  <c r="D24" i="2" s="1"/>
  <c r="C16" i="2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E15" i="2"/>
  <c r="C29" i="2"/>
  <c r="C30" i="2" s="1"/>
  <c r="C31" i="2" s="1"/>
  <c r="C32" i="2" s="1"/>
  <c r="C33" i="2" s="1"/>
  <c r="C34" i="2" s="1"/>
  <c r="C35" i="2" s="1"/>
  <c r="C36" i="2" s="1"/>
  <c r="D25" i="2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E33" i="2"/>
  <c r="E34" i="2" s="1"/>
  <c r="E35" i="2" s="1"/>
  <c r="E36" i="2" s="1"/>
  <c r="E37" i="2"/>
  <c r="E38" i="2" s="1"/>
  <c r="D41" i="2"/>
  <c r="D42" i="2" s="1"/>
  <c r="C37" i="2"/>
  <c r="C38" i="2" s="1"/>
  <c r="C39" i="2" s="1"/>
  <c r="C40" i="2" s="1"/>
  <c r="C41" i="2"/>
  <c r="C42" i="2" s="1"/>
  <c r="D43" i="2"/>
  <c r="D44" i="2" s="1"/>
  <c r="D45" i="2" s="1"/>
  <c r="D46" i="2" s="1"/>
  <c r="E39" i="2"/>
  <c r="D47" i="2"/>
  <c r="C43" i="2"/>
  <c r="C44" i="2" s="1"/>
  <c r="C45" i="2" s="1"/>
  <c r="C46" i="2" s="1"/>
  <c r="C47" i="2"/>
</calcChain>
</file>

<file path=xl/sharedStrings.xml><?xml version="1.0" encoding="utf-8"?>
<sst xmlns="http://schemas.openxmlformats.org/spreadsheetml/2006/main" count="505" uniqueCount="205">
  <si>
    <t>No</t>
  </si>
  <si>
    <t>テスト区分</t>
  </si>
  <si>
    <t>【画面】：画面名
【機能】：業務機能名</t>
    <rPh sb="1" eb="3">
      <t>ガメン</t>
    </rPh>
    <rPh sb="5" eb="7">
      <t>ガメン</t>
    </rPh>
    <rPh sb="7" eb="8">
      <t>メイ</t>
    </rPh>
    <rPh sb="18" eb="19">
      <t>メイ</t>
    </rPh>
    <phoneticPr fontId="9"/>
  </si>
  <si>
    <t>【画面】：画面エリア
【機能】：業務機能詳細項目</t>
    <rPh sb="1" eb="3">
      <t>ガメン</t>
    </rPh>
    <rPh sb="5" eb="7">
      <t>ガメン</t>
    </rPh>
    <phoneticPr fontId="9"/>
  </si>
  <si>
    <t>【画面】：テスト対象要素項目
【機能】：テスト対象機能項目</t>
    <rPh sb="1" eb="3">
      <t>ガメン</t>
    </rPh>
    <rPh sb="8" eb="10">
      <t>タイショウ</t>
    </rPh>
    <rPh sb="10" eb="12">
      <t>ヨウソ</t>
    </rPh>
    <rPh sb="12" eb="14">
      <t>コウモク</t>
    </rPh>
    <phoneticPr fontId="9"/>
  </si>
  <si>
    <t>テスト観点</t>
    <rPh sb="3" eb="5">
      <t>カンテン</t>
    </rPh>
    <phoneticPr fontId="3"/>
  </si>
  <si>
    <t>確認項目</t>
  </si>
  <si>
    <t>期待値</t>
  </si>
  <si>
    <t>設計備考</t>
  </si>
  <si>
    <t>END</t>
  </si>
  <si>
    <t>#</t>
  </si>
  <si>
    <t>-</t>
    <phoneticPr fontId="2"/>
  </si>
  <si>
    <t>帳票タイトル</t>
    <phoneticPr fontId="3"/>
  </si>
  <si>
    <t>管理番号</t>
  </si>
  <si>
    <t>○○-0001</t>
    <phoneticPr fontId="3"/>
  </si>
  <si>
    <t>作成日</t>
  </si>
  <si>
    <t>最終更新日</t>
  </si>
  <si>
    <t>バージョン</t>
  </si>
  <si>
    <t>作成者</t>
  </si>
  <si>
    <t>更新者</t>
  </si>
  <si>
    <t>プロジェクト名</t>
  </si>
  <si>
    <t>○○○○検証</t>
    <rPh sb="4" eb="6">
      <t>ケンショウ</t>
    </rPh>
    <phoneticPr fontId="3"/>
  </si>
  <si>
    <t>プロダクト名</t>
  </si>
  <si>
    <t>○○○○</t>
    <phoneticPr fontId="3"/>
  </si>
  <si>
    <t>サブ名</t>
  </si>
  <si>
    <t>更新日</t>
  </si>
  <si>
    <t>更新内容</t>
  </si>
  <si>
    <t>SHIFT 佐藤</t>
    <rPh sb="6" eb="8">
      <t>サトウ</t>
    </rPh>
    <phoneticPr fontId="3"/>
  </si>
  <si>
    <t>初期バージョン作成</t>
  </si>
  <si>
    <t>帳票タイトル</t>
  </si>
  <si>
    <t>ファイル構成</t>
  </si>
  <si>
    <t>シート名</t>
  </si>
  <si>
    <t>概要</t>
  </si>
  <si>
    <t>確認項目一覧</t>
  </si>
  <si>
    <t>仕様書より抽出した機能及びそれを確認するための項目一覧表</t>
  </si>
  <si>
    <t>テスト設計ボリューム結果</t>
  </si>
  <si>
    <t>■テスト設計範囲</t>
  </si>
  <si>
    <t>■実行対象範囲</t>
  </si>
  <si>
    <t>項目名</t>
  </si>
  <si>
    <t>件数</t>
  </si>
  <si>
    <t>対象確認項目数</t>
  </si>
  <si>
    <t>設計パターン数</t>
  </si>
  <si>
    <t>テストケース数</t>
  </si>
  <si>
    <t>総テスト数</t>
  </si>
  <si>
    <t>実施予定テスト数</t>
  </si>
  <si>
    <t>データ定義</t>
    <rPh sb="3" eb="5">
      <t>テイギ</t>
    </rPh>
    <phoneticPr fontId="3"/>
  </si>
  <si>
    <t>[データ定義①]</t>
    <rPh sb="4" eb="6">
      <t>テイギ</t>
    </rPh>
    <phoneticPr fontId="3"/>
  </si>
  <si>
    <t>[データ定義②]</t>
    <rPh sb="4" eb="6">
      <t>テイギ</t>
    </rPh>
    <phoneticPr fontId="3"/>
  </si>
  <si>
    <t>テスト設計書</t>
    <phoneticPr fontId="2"/>
  </si>
  <si>
    <t>株式会社○○御中</t>
    <rPh sb="0" eb="4">
      <t>カブシキガイシャ</t>
    </rPh>
    <rPh sb="6" eb="8">
      <t>オンチュウ</t>
    </rPh>
    <phoneticPr fontId="2"/>
  </si>
  <si>
    <t>○○を修正</t>
    <rPh sb="3" eb="5">
      <t>シュウセイ</t>
    </rPh>
    <phoneticPr fontId="2"/>
  </si>
  <si>
    <t>テスト設計書                                                                                                                                                                                                                                                  ほにゃらら</t>
    <phoneticPr fontId="2"/>
  </si>
  <si>
    <t>PTN</t>
    <phoneticPr fontId="3"/>
  </si>
  <si>
    <t>手順</t>
    <rPh sb="0" eb="2">
      <t>テジュン</t>
    </rPh>
    <phoneticPr fontId="3"/>
  </si>
  <si>
    <t>設計積算機能</t>
    <rPh sb="0" eb="2">
      <t>セッケイ</t>
    </rPh>
    <rPh sb="2" eb="4">
      <t>セキサン</t>
    </rPh>
    <rPh sb="4" eb="6">
      <t>キノウ</t>
    </rPh>
    <phoneticPr fontId="2"/>
  </si>
  <si>
    <t>基準予算（鑑）画面</t>
    <rPh sb="0" eb="2">
      <t>キジュン</t>
    </rPh>
    <rPh sb="2" eb="4">
      <t>ヨサン</t>
    </rPh>
    <rPh sb="5" eb="6">
      <t>カガミ</t>
    </rPh>
    <rPh sb="7" eb="9">
      <t>ガメン</t>
    </rPh>
    <phoneticPr fontId="2"/>
  </si>
  <si>
    <t>リストアイテム</t>
    <phoneticPr fontId="2"/>
  </si>
  <si>
    <t>初期制御</t>
    <phoneticPr fontId="2"/>
  </si>
  <si>
    <t>初期表示は「未選択」であること</t>
    <rPh sb="0" eb="2">
      <t>ショキ</t>
    </rPh>
    <rPh sb="2" eb="4">
      <t>ヒョウジ</t>
    </rPh>
    <rPh sb="6" eb="7">
      <t>ミ</t>
    </rPh>
    <rPh sb="7" eb="9">
      <t>センタク</t>
    </rPh>
    <phoneticPr fontId="2"/>
  </si>
  <si>
    <t>アイテム区分リストボックス</t>
    <rPh sb="4" eb="6">
      <t>クブン</t>
    </rPh>
    <phoneticPr fontId="2"/>
  </si>
  <si>
    <t>版数テキストボックス</t>
    <rPh sb="0" eb="2">
      <t>ハンスウ</t>
    </rPh>
    <phoneticPr fontId="2"/>
  </si>
  <si>
    <t>プルダウンのリストに
　　未選択
　　全体
　　部分
と表示されていること</t>
    <rPh sb="13" eb="14">
      <t>ミ</t>
    </rPh>
    <rPh sb="14" eb="16">
      <t>センタク</t>
    </rPh>
    <rPh sb="19" eb="21">
      <t>ゼンタイ</t>
    </rPh>
    <rPh sb="24" eb="26">
      <t>ブブン</t>
    </rPh>
    <rPh sb="28" eb="30">
      <t>ヒョウジ</t>
    </rPh>
    <phoneticPr fontId="2"/>
  </si>
  <si>
    <t>初期表示は空欄であること</t>
    <rPh sb="0" eb="2">
      <t>ショキ</t>
    </rPh>
    <rPh sb="2" eb="4">
      <t>ヒョウジ</t>
    </rPh>
    <rPh sb="5" eb="7">
      <t>クウラン</t>
    </rPh>
    <phoneticPr fontId="2"/>
  </si>
  <si>
    <t>設計担当部署コード
テキストボックス</t>
    <rPh sb="4" eb="6">
      <t>ブショ</t>
    </rPh>
    <phoneticPr fontId="2"/>
  </si>
  <si>
    <t>設計担当部署コード
ラベル</t>
    <rPh sb="4" eb="6">
      <t>ブショ</t>
    </rPh>
    <phoneticPr fontId="2"/>
  </si>
  <si>
    <t>設計担当者コード
テキストボックス</t>
    <rPh sb="4" eb="5">
      <t>シャ</t>
    </rPh>
    <phoneticPr fontId="2"/>
  </si>
  <si>
    <t>設計担当者コード
ラベル</t>
    <rPh sb="4" eb="5">
      <t>シャ</t>
    </rPh>
    <phoneticPr fontId="2"/>
  </si>
  <si>
    <t>初期表示は、
　　0070
と表示されていること</t>
    <rPh sb="0" eb="2">
      <t>ショキ</t>
    </rPh>
    <rPh sb="2" eb="4">
      <t>ヒョウジ</t>
    </rPh>
    <rPh sb="15" eb="17">
      <t>ヒョウジ</t>
    </rPh>
    <phoneticPr fontId="2"/>
  </si>
  <si>
    <t>初期表示は、
　　設計G
と表示されていること</t>
    <rPh sb="0" eb="2">
      <t>ショキ</t>
    </rPh>
    <rPh sb="2" eb="4">
      <t>ヒョウジ</t>
    </rPh>
    <rPh sb="9" eb="11">
      <t>セッケイ</t>
    </rPh>
    <rPh sb="14" eb="16">
      <t>ヒョウジ</t>
    </rPh>
    <phoneticPr fontId="2"/>
  </si>
  <si>
    <t>積算担当部署コード
テキストボックス</t>
    <rPh sb="0" eb="2">
      <t>セキサン</t>
    </rPh>
    <rPh sb="4" eb="6">
      <t>ブショ</t>
    </rPh>
    <phoneticPr fontId="2"/>
  </si>
  <si>
    <t>積算担当部署コード
ラベル</t>
    <rPh sb="4" eb="6">
      <t>ブショ</t>
    </rPh>
    <phoneticPr fontId="2"/>
  </si>
  <si>
    <t>積算担当者コード
テキストボックス</t>
    <rPh sb="4" eb="5">
      <t>シャ</t>
    </rPh>
    <phoneticPr fontId="2"/>
  </si>
  <si>
    <t>積算担当者コード
ラベル</t>
    <rPh sb="4" eb="5">
      <t>シャ</t>
    </rPh>
    <phoneticPr fontId="2"/>
  </si>
  <si>
    <t>初期表示は、
　　0080
と表示されていること</t>
    <rPh sb="0" eb="2">
      <t>ショキ</t>
    </rPh>
    <rPh sb="2" eb="4">
      <t>ヒョウジ</t>
    </rPh>
    <rPh sb="15" eb="17">
      <t>ヒョウジ</t>
    </rPh>
    <phoneticPr fontId="2"/>
  </si>
  <si>
    <t>初期表示は、
　　積算G
と表示されていること</t>
    <rPh sb="0" eb="2">
      <t>ショキ</t>
    </rPh>
    <rPh sb="2" eb="4">
      <t>ヒョウジ</t>
    </rPh>
    <rPh sb="9" eb="11">
      <t>セキサン</t>
    </rPh>
    <rPh sb="14" eb="16">
      <t>ヒョウジ</t>
    </rPh>
    <phoneticPr fontId="2"/>
  </si>
  <si>
    <t>基準入力エリア</t>
    <rPh sb="0" eb="2">
      <t>キジュン</t>
    </rPh>
    <rPh sb="2" eb="4">
      <t>ニュウリョク</t>
    </rPh>
    <phoneticPr fontId="2"/>
  </si>
  <si>
    <t>初期表示は、
　　00003
と表示されていること</t>
    <rPh sb="0" eb="2">
      <t>ショキ</t>
    </rPh>
    <rPh sb="2" eb="4">
      <t>ヒョウジ</t>
    </rPh>
    <rPh sb="16" eb="18">
      <t>ヒョウジ</t>
    </rPh>
    <phoneticPr fontId="2"/>
  </si>
  <si>
    <t>初期表示は、
　　とうきょう たろう
と表示されていること</t>
    <rPh sb="0" eb="2">
      <t>ショキ</t>
    </rPh>
    <rPh sb="2" eb="4">
      <t>ヒョウジ</t>
    </rPh>
    <rPh sb="20" eb="22">
      <t>ヒョウジ</t>
    </rPh>
    <phoneticPr fontId="2"/>
  </si>
  <si>
    <t>初期表示は、
　　さっぽろ はなこ
と表示されていること</t>
    <rPh sb="0" eb="2">
      <t>ショキ</t>
    </rPh>
    <rPh sb="2" eb="4">
      <t>ヒョウジ</t>
    </rPh>
    <rPh sb="19" eb="21">
      <t>ヒョウジ</t>
    </rPh>
    <phoneticPr fontId="2"/>
  </si>
  <si>
    <t>予算一覧エリア</t>
    <rPh sb="0" eb="2">
      <t>ヨサン</t>
    </rPh>
    <rPh sb="2" eb="4">
      <t>イチラン</t>
    </rPh>
    <phoneticPr fontId="2"/>
  </si>
  <si>
    <t>A 工番金額(税抜)</t>
    <rPh sb="2" eb="4">
      <t>コウバン</t>
    </rPh>
    <rPh sb="4" eb="6">
      <t>キンガク</t>
    </rPh>
    <rPh sb="7" eb="9">
      <t>ゼイヌキ</t>
    </rPh>
    <phoneticPr fontId="2"/>
  </si>
  <si>
    <t>数値が黒色であること
（マイナス値の場合のみ赤色であること）</t>
    <rPh sb="0" eb="2">
      <t>スウチ</t>
    </rPh>
    <rPh sb="3" eb="5">
      <t>クロイロ</t>
    </rPh>
    <rPh sb="16" eb="17">
      <t>チ</t>
    </rPh>
    <rPh sb="18" eb="20">
      <t>バアイ</t>
    </rPh>
    <rPh sb="22" eb="24">
      <t>アカイロ</t>
    </rPh>
    <phoneticPr fontId="2"/>
  </si>
  <si>
    <t>機器・工事費</t>
    <phoneticPr fontId="2"/>
  </si>
  <si>
    <t>書式（色）</t>
    <rPh sb="0" eb="2">
      <t>ショシキ</t>
    </rPh>
    <rPh sb="3" eb="4">
      <t>イロ</t>
    </rPh>
    <phoneticPr fontId="2"/>
  </si>
  <si>
    <t>書式（形式）</t>
    <rPh sb="0" eb="2">
      <t>ショシキ</t>
    </rPh>
    <rPh sb="3" eb="5">
      <t>ケイシキ</t>
    </rPh>
    <phoneticPr fontId="2"/>
  </si>
  <si>
    <t>直接経費他</t>
    <phoneticPr fontId="2"/>
  </si>
  <si>
    <t>直接販売費</t>
    <phoneticPr fontId="2"/>
  </si>
  <si>
    <t>B 変動費 計</t>
    <phoneticPr fontId="2"/>
  </si>
  <si>
    <t>C 限界利益(A-B)</t>
    <phoneticPr fontId="2"/>
  </si>
  <si>
    <t>E 工事利益(C-D)</t>
    <phoneticPr fontId="2"/>
  </si>
  <si>
    <t>D 設管理費</t>
    <phoneticPr fontId="2"/>
  </si>
  <si>
    <t>F 営業費・本社費</t>
    <phoneticPr fontId="2"/>
  </si>
  <si>
    <t>G 営業利益(E-F)</t>
    <phoneticPr fontId="2"/>
  </si>
  <si>
    <t>ボタンエリア</t>
    <phoneticPr fontId="2"/>
  </si>
  <si>
    <t>登録ボタン</t>
    <rPh sb="0" eb="2">
      <t>トウロク</t>
    </rPh>
    <phoneticPr fontId="2"/>
  </si>
  <si>
    <t>登録後の自画面反映が正しいこと</t>
    <rPh sb="0" eb="2">
      <t>トウロク</t>
    </rPh>
    <rPh sb="2" eb="3">
      <t>ゴ</t>
    </rPh>
    <rPh sb="4" eb="5">
      <t>ジ</t>
    </rPh>
    <rPh sb="5" eb="7">
      <t>ガメン</t>
    </rPh>
    <rPh sb="7" eb="9">
      <t>ハンエイ</t>
    </rPh>
    <rPh sb="10" eb="11">
      <t>タダ</t>
    </rPh>
    <phoneticPr fontId="2"/>
  </si>
  <si>
    <t>画面反映（エラー有り）</t>
    <rPh sb="0" eb="2">
      <t>ガメン</t>
    </rPh>
    <rPh sb="2" eb="4">
      <t>ハンエイ</t>
    </rPh>
    <rPh sb="8" eb="9">
      <t>ア</t>
    </rPh>
    <phoneticPr fontId="2"/>
  </si>
  <si>
    <t>①アイテム区分はプルダウンから「未選択」を選択する
②版数に「1」を入力する
③設計担当部署コードに「0070」を入力する
④設計担当者コードに「00003」を入力する
⑤積算担当部署コードに「0080」を入力する
⑥積算担当者コードに「00006」を入力する
⑦登録ボタンを押下する</t>
    <rPh sb="5" eb="7">
      <t>クブン</t>
    </rPh>
    <rPh sb="16" eb="17">
      <t>ミ</t>
    </rPh>
    <rPh sb="17" eb="19">
      <t>センタク</t>
    </rPh>
    <rPh sb="21" eb="23">
      <t>センタク</t>
    </rPh>
    <rPh sb="27" eb="29">
      <t>ハンスウ</t>
    </rPh>
    <rPh sb="34" eb="36">
      <t>ニュウリョク</t>
    </rPh>
    <rPh sb="57" eb="59">
      <t>ニュウリョク</t>
    </rPh>
    <rPh sb="67" eb="68">
      <t>シャ</t>
    </rPh>
    <rPh sb="86" eb="88">
      <t>セキサン</t>
    </rPh>
    <rPh sb="113" eb="114">
      <t>シャ</t>
    </rPh>
    <rPh sb="132" eb="134">
      <t>トウロク</t>
    </rPh>
    <rPh sb="138" eb="140">
      <t>オウカ</t>
    </rPh>
    <phoneticPr fontId="2"/>
  </si>
  <si>
    <t>①アイテム区分はプルダウンから「全体」を選択する
②版数に「A」を入力する
③設計担当部署コードに「0070」を入力する
④設計担当者コードに「00003」を入力する
⑤積算担当部署コードに「0080」を入力する
⑥積算担当者コードに「00006」を入力する
⑦登録ボタンを押下する</t>
    <rPh sb="5" eb="7">
      <t>クブン</t>
    </rPh>
    <rPh sb="16" eb="18">
      <t>ゼンタイ</t>
    </rPh>
    <rPh sb="20" eb="22">
      <t>センタク</t>
    </rPh>
    <rPh sb="26" eb="28">
      <t>ハンスウ</t>
    </rPh>
    <rPh sb="33" eb="35">
      <t>ニュウリョク</t>
    </rPh>
    <rPh sb="56" eb="58">
      <t>ニュウリョク</t>
    </rPh>
    <rPh sb="66" eb="67">
      <t>シャ</t>
    </rPh>
    <rPh sb="85" eb="87">
      <t>セキサン</t>
    </rPh>
    <rPh sb="112" eb="113">
      <t>シャ</t>
    </rPh>
    <rPh sb="131" eb="133">
      <t>トウロク</t>
    </rPh>
    <rPh sb="137" eb="139">
      <t>オウカ</t>
    </rPh>
    <phoneticPr fontId="2"/>
  </si>
  <si>
    <t>①アイテム区分はプルダウンから「全体」を選択する
②版数に「1」を入力する
③設計担当部署コードに「0070」を入力する
④設計担当者コードに「00003」を入力する
⑤積算担当部署コードに「0080」を入力する
⑥積算担当者コードに「00006」を入力する
⑦登録ボタンを押下する</t>
    <rPh sb="5" eb="7">
      <t>クブン</t>
    </rPh>
    <rPh sb="16" eb="18">
      <t>ゼンタイ</t>
    </rPh>
    <rPh sb="20" eb="22">
      <t>センタク</t>
    </rPh>
    <rPh sb="26" eb="28">
      <t>ハンスウ</t>
    </rPh>
    <rPh sb="33" eb="35">
      <t>ニュウリョク</t>
    </rPh>
    <rPh sb="56" eb="58">
      <t>ニュウリョク</t>
    </rPh>
    <rPh sb="66" eb="67">
      <t>シャ</t>
    </rPh>
    <rPh sb="85" eb="87">
      <t>セキサン</t>
    </rPh>
    <rPh sb="112" eb="113">
      <t>シャ</t>
    </rPh>
    <rPh sb="131" eb="133">
      <t>トウロク</t>
    </rPh>
    <rPh sb="137" eb="139">
      <t>オウカ</t>
    </rPh>
    <phoneticPr fontId="2"/>
  </si>
  <si>
    <t>画面反映（正常）</t>
    <rPh sb="0" eb="2">
      <t>ガメン</t>
    </rPh>
    <rPh sb="2" eb="4">
      <t>ハンエイ</t>
    </rPh>
    <rPh sb="5" eb="7">
      <t>セイジョウ</t>
    </rPh>
    <phoneticPr fontId="2"/>
  </si>
  <si>
    <t>①アイテム区分はプルダウンから「全体」を選択する
②版数に「1」を入力する
③設計担当部署コードに「0000」を入力する
④設計担当者コードに「00003」を入力する
⑤積算担当部署コードに「0080」を入力する
⑥積算担当者コードに「00006」を入力する
⑦登録ボタンを押下する</t>
    <rPh sb="5" eb="7">
      <t>クブン</t>
    </rPh>
    <rPh sb="16" eb="18">
      <t>ゼンタイ</t>
    </rPh>
    <rPh sb="20" eb="22">
      <t>センタク</t>
    </rPh>
    <rPh sb="26" eb="28">
      <t>ハンスウ</t>
    </rPh>
    <rPh sb="33" eb="35">
      <t>ニュウリョク</t>
    </rPh>
    <rPh sb="56" eb="58">
      <t>ニュウリョク</t>
    </rPh>
    <rPh sb="131" eb="133">
      <t>トウロク</t>
    </rPh>
    <rPh sb="137" eb="139">
      <t>オウカ</t>
    </rPh>
    <phoneticPr fontId="2"/>
  </si>
  <si>
    <t>実行結果</t>
    <rPh sb="0" eb="2">
      <t>ジッコウ</t>
    </rPh>
    <rPh sb="2" eb="4">
      <t>ケッカ</t>
    </rPh>
    <phoneticPr fontId="2"/>
  </si>
  <si>
    <t>①アイテム区分はプルダウンから「未選択」を選択する
②版数を空欄にする
③設計担当部署コードを空欄にする
④設計担当者コードを空欄にする
⑤積算担当部署コードを空欄にする
⑥積算担当者コードを空欄にする
⑦登録ボタンを押下する</t>
    <rPh sb="27" eb="29">
      <t>ハンスウ</t>
    </rPh>
    <rPh sb="58" eb="59">
      <t>シャ</t>
    </rPh>
    <rPh sb="70" eb="72">
      <t>セキサン</t>
    </rPh>
    <rPh sb="91" eb="92">
      <t>シャ</t>
    </rPh>
    <rPh sb="103" eb="105">
      <t>トウロク</t>
    </rPh>
    <rPh sb="109" eb="111">
      <t>オウカ</t>
    </rPh>
    <phoneticPr fontId="2"/>
  </si>
  <si>
    <t>①アイテム区分はプルダウンから「全体」を選択する
②版数に「1」を入力する
③設計担当部署コードに「0070」を入力する
④設計担当者コードに「00003」を入力する
⑤積算担当部署コードに「0080」を入力する
⑥積算担当者コードに「00000」を入力する
⑦登録ボタンを押下する</t>
    <rPh sb="5" eb="7">
      <t>クブン</t>
    </rPh>
    <rPh sb="16" eb="18">
      <t>ゼンタイ</t>
    </rPh>
    <rPh sb="20" eb="22">
      <t>センタク</t>
    </rPh>
    <rPh sb="26" eb="28">
      <t>ハンスウ</t>
    </rPh>
    <rPh sb="33" eb="35">
      <t>ニュウリョク</t>
    </rPh>
    <rPh sb="85" eb="87">
      <t>セキサン</t>
    </rPh>
    <rPh sb="112" eb="113">
      <t>シャ</t>
    </rPh>
    <rPh sb="131" eb="133">
      <t>トウロク</t>
    </rPh>
    <rPh sb="137" eb="139">
      <t>オウカ</t>
    </rPh>
    <phoneticPr fontId="2"/>
  </si>
  <si>
    <r>
      <t>・版数のテキストボックスの下に
　「※版数を数値で入力してください」というメッセージが表示されること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1" eb="3">
      <t>ハンスウ</t>
    </rPh>
    <rPh sb="13" eb="14">
      <t>シタ</t>
    </rPh>
    <rPh sb="19" eb="21">
      <t>ハンスウ</t>
    </rPh>
    <rPh sb="22" eb="24">
      <t>スウチ</t>
    </rPh>
    <rPh sb="25" eb="27">
      <t>ニュウリョク</t>
    </rPh>
    <rPh sb="43" eb="45">
      <t>ヒョウジ</t>
    </rPh>
    <phoneticPr fontId="2"/>
  </si>
  <si>
    <r>
      <t>・アイテム区分のテキストボックスの下に
　「※アイテム区分を入力してください」というメッセージが表示されること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5" eb="7">
      <t>クブン</t>
    </rPh>
    <rPh sb="17" eb="18">
      <t>シタ</t>
    </rPh>
    <rPh sb="27" eb="29">
      <t>クブン</t>
    </rPh>
    <rPh sb="30" eb="32">
      <t>ニュウリョク</t>
    </rPh>
    <rPh sb="48" eb="50">
      <t>ヒョウジ</t>
    </rPh>
    <phoneticPr fontId="2"/>
  </si>
  <si>
    <t>0010</t>
    <phoneticPr fontId="2"/>
  </si>
  <si>
    <t>管理G</t>
    <rPh sb="0" eb="2">
      <t>カンリ</t>
    </rPh>
    <phoneticPr fontId="2"/>
  </si>
  <si>
    <t>0020</t>
    <phoneticPr fontId="2"/>
  </si>
  <si>
    <t>人事G</t>
    <rPh sb="0" eb="2">
      <t>ジンジ</t>
    </rPh>
    <phoneticPr fontId="2"/>
  </si>
  <si>
    <t>0030</t>
    <phoneticPr fontId="2"/>
  </si>
  <si>
    <t>営業G</t>
    <rPh sb="0" eb="2">
      <t>エイギョウ</t>
    </rPh>
    <phoneticPr fontId="2"/>
  </si>
  <si>
    <t>0040</t>
    <phoneticPr fontId="2"/>
  </si>
  <si>
    <t>品管G</t>
    <rPh sb="0" eb="1">
      <t>ヒン</t>
    </rPh>
    <phoneticPr fontId="2"/>
  </si>
  <si>
    <t>0050</t>
    <phoneticPr fontId="2"/>
  </si>
  <si>
    <t>運用G</t>
    <rPh sb="0" eb="2">
      <t>ウンヨウ</t>
    </rPh>
    <phoneticPr fontId="2"/>
  </si>
  <si>
    <t>0060</t>
    <phoneticPr fontId="2"/>
  </si>
  <si>
    <t>流通G</t>
    <rPh sb="0" eb="2">
      <t>リュウツウ</t>
    </rPh>
    <phoneticPr fontId="2"/>
  </si>
  <si>
    <t>0070</t>
    <phoneticPr fontId="2"/>
  </si>
  <si>
    <t>設計G</t>
    <phoneticPr fontId="2"/>
  </si>
  <si>
    <t>0080</t>
    <phoneticPr fontId="2"/>
  </si>
  <si>
    <t>積算G</t>
    <phoneticPr fontId="2"/>
  </si>
  <si>
    <t>0090</t>
    <phoneticPr fontId="2"/>
  </si>
  <si>
    <t>企画G</t>
    <rPh sb="0" eb="2">
      <t>キカク</t>
    </rPh>
    <phoneticPr fontId="2"/>
  </si>
  <si>
    <t>0100</t>
    <phoneticPr fontId="2"/>
  </si>
  <si>
    <t>広域G</t>
    <rPh sb="0" eb="2">
      <t>コウイキ</t>
    </rPh>
    <phoneticPr fontId="2"/>
  </si>
  <si>
    <t>部署コード</t>
    <rPh sb="0" eb="2">
      <t>ブショ</t>
    </rPh>
    <phoneticPr fontId="3"/>
  </si>
  <si>
    <t>部署名</t>
    <rPh sb="0" eb="2">
      <t>ブショ</t>
    </rPh>
    <rPh sb="2" eb="3">
      <t>メイ</t>
    </rPh>
    <phoneticPr fontId="3"/>
  </si>
  <si>
    <t>00001</t>
    <phoneticPr fontId="2"/>
  </si>
  <si>
    <t>しふと たろう</t>
    <phoneticPr fontId="2"/>
  </si>
  <si>
    <t>00002</t>
    <phoneticPr fontId="2"/>
  </si>
  <si>
    <t>しふと はなこ</t>
    <phoneticPr fontId="2"/>
  </si>
  <si>
    <t>00003</t>
    <phoneticPr fontId="2"/>
  </si>
  <si>
    <t>とうきょう たろう</t>
    <phoneticPr fontId="2"/>
  </si>
  <si>
    <t>00004</t>
    <phoneticPr fontId="2"/>
  </si>
  <si>
    <t>とうきょう はなこ</t>
    <phoneticPr fontId="2"/>
  </si>
  <si>
    <t>00005</t>
    <phoneticPr fontId="2"/>
  </si>
  <si>
    <t>さっぽろ たろう</t>
    <phoneticPr fontId="2"/>
  </si>
  <si>
    <t>00006</t>
    <phoneticPr fontId="2"/>
  </si>
  <si>
    <t>さっぽろ はなこ</t>
    <phoneticPr fontId="2"/>
  </si>
  <si>
    <t>00007</t>
    <phoneticPr fontId="2"/>
  </si>
  <si>
    <t>なごや たろう</t>
    <phoneticPr fontId="2"/>
  </si>
  <si>
    <t>00008</t>
    <phoneticPr fontId="2"/>
  </si>
  <si>
    <t>なごや はなこ</t>
    <phoneticPr fontId="2"/>
  </si>
  <si>
    <t>00009</t>
    <phoneticPr fontId="2"/>
  </si>
  <si>
    <t>おおさか たろう</t>
    <phoneticPr fontId="2"/>
  </si>
  <si>
    <t>00010</t>
    <phoneticPr fontId="2"/>
  </si>
  <si>
    <t>おおさか はなこ</t>
    <phoneticPr fontId="2"/>
  </si>
  <si>
    <t>00011</t>
    <phoneticPr fontId="2"/>
  </si>
  <si>
    <t>ふくおか たろう</t>
    <phoneticPr fontId="2"/>
  </si>
  <si>
    <t>00012</t>
    <phoneticPr fontId="2"/>
  </si>
  <si>
    <t>ふくおか はなこ</t>
    <phoneticPr fontId="2"/>
  </si>
  <si>
    <t>担当者コード</t>
    <rPh sb="0" eb="3">
      <t>タントウシャ</t>
    </rPh>
    <phoneticPr fontId="3"/>
  </si>
  <si>
    <t>担当者名</t>
    <rPh sb="0" eb="3">
      <t>タントウシャ</t>
    </rPh>
    <rPh sb="3" eb="4">
      <t>メイ</t>
    </rPh>
    <phoneticPr fontId="3"/>
  </si>
  <si>
    <t>課題No.</t>
    <rPh sb="0" eb="2">
      <t>カダイ</t>
    </rPh>
    <phoneticPr fontId="2"/>
  </si>
  <si>
    <t>同じ列の「機器・工事費」「直接経費他」「直接販売費」の合計値であること</t>
    <rPh sb="0" eb="1">
      <t>オナ</t>
    </rPh>
    <rPh sb="2" eb="3">
      <t>レツ</t>
    </rPh>
    <rPh sb="27" eb="30">
      <t>ゴウケイチ</t>
    </rPh>
    <phoneticPr fontId="2"/>
  </si>
  <si>
    <t>同じ列の「A 工番金額(税抜)」から「B 変動費 計」をマイナスした値であること</t>
    <rPh sb="0" eb="1">
      <t>オナ</t>
    </rPh>
    <rPh sb="2" eb="3">
      <t>レツ</t>
    </rPh>
    <rPh sb="34" eb="35">
      <t>アタイ</t>
    </rPh>
    <phoneticPr fontId="2"/>
  </si>
  <si>
    <t>同じ列の「C 限界利益(A-B)」から「D 設管理費」をマイナスした値であること</t>
    <rPh sb="34" eb="35">
      <t>アタイ</t>
    </rPh>
    <phoneticPr fontId="2"/>
  </si>
  <si>
    <t>同じ列の「E 工事利益(C-D)」から「F 営業費・本社費」をマイナスした値であること</t>
    <rPh sb="37" eb="38">
      <t>アタイ</t>
    </rPh>
    <phoneticPr fontId="2"/>
  </si>
  <si>
    <t>①アイテム区分はプルダウンから「全体」を選択する
②版数に「1」を入力する
③設計担当部署コードに「0070」を入力する
④設計担当者コードに「00000」を入力する
⑤積算担当部署コードに「0080」を入力する
⑥積算担当者コードに「00006」を入力する
⑦登録ボタンを押下する</t>
    <rPh sb="5" eb="7">
      <t>クブン</t>
    </rPh>
    <rPh sb="16" eb="18">
      <t>ゼンタイ</t>
    </rPh>
    <rPh sb="20" eb="22">
      <t>センタク</t>
    </rPh>
    <rPh sb="26" eb="28">
      <t>ハンスウ</t>
    </rPh>
    <rPh sb="33" eb="35">
      <t>ニュウリョク</t>
    </rPh>
    <rPh sb="56" eb="58">
      <t>ニュウリョク</t>
    </rPh>
    <rPh sb="66" eb="67">
      <t>シャ</t>
    </rPh>
    <rPh sb="85" eb="87">
      <t>セキサン</t>
    </rPh>
    <rPh sb="112" eb="113">
      <t>シャ</t>
    </rPh>
    <rPh sb="131" eb="133">
      <t>トウロク</t>
    </rPh>
    <rPh sb="137" eb="139">
      <t>オウカ</t>
    </rPh>
    <phoneticPr fontId="2"/>
  </si>
  <si>
    <t>金額は、3桁ずつのカンマ区切り
比率は、小数点以下1桁まで表示されていること</t>
    <rPh sb="0" eb="2">
      <t>キンガク</t>
    </rPh>
    <rPh sb="5" eb="6">
      <t>ケタ</t>
    </rPh>
    <rPh sb="12" eb="14">
      <t>クギ</t>
    </rPh>
    <rPh sb="16" eb="18">
      <t>ヒリツ</t>
    </rPh>
    <rPh sb="29" eb="31">
      <t>ヒョウジ</t>
    </rPh>
    <phoneticPr fontId="2"/>
  </si>
  <si>
    <t>初期表示は、
　　0006
と表示されていること</t>
    <rPh sb="0" eb="2">
      <t>ショキ</t>
    </rPh>
    <rPh sb="2" eb="4">
      <t>ヒョウジ</t>
    </rPh>
    <rPh sb="15" eb="17">
      <t>ヒョウジ</t>
    </rPh>
    <phoneticPr fontId="2"/>
  </si>
  <si>
    <r>
      <t>・設計担当部署コードのテキストボックスの右に
　「見つかりません」というメッセージが表示されること
・設計担当部署コードのテキストボックスの下に
　「※正しい設計担当部署コードを入力してください」というメッセージが表示されること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1" eb="3">
      <t>セッケイ</t>
    </rPh>
    <rPh sb="3" eb="5">
      <t>タントウ</t>
    </rPh>
    <rPh sb="5" eb="7">
      <t>ブショ</t>
    </rPh>
    <rPh sb="20" eb="21">
      <t>ミギ</t>
    </rPh>
    <rPh sb="25" eb="26">
      <t>ミ</t>
    </rPh>
    <rPh sb="42" eb="44">
      <t>ヒョウジ</t>
    </rPh>
    <rPh sb="51" eb="53">
      <t>セッケイ</t>
    </rPh>
    <rPh sb="55" eb="57">
      <t>ブショ</t>
    </rPh>
    <rPh sb="76" eb="77">
      <t>タダ</t>
    </rPh>
    <phoneticPr fontId="2"/>
  </si>
  <si>
    <r>
      <t>・設計担当者コードのテキストボックスの右に
　「見つかりません」というメッセージが表示されること
・設計担当者コードのテキストボックスの下に
　「※正しい設計担当者コードを入力してください」というメッセージが表示されること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1" eb="3">
      <t>セッケイ</t>
    </rPh>
    <rPh sb="3" eb="5">
      <t>タントウ</t>
    </rPh>
    <rPh sb="5" eb="6">
      <t>シャ</t>
    </rPh>
    <rPh sb="19" eb="20">
      <t>ミギ</t>
    </rPh>
    <rPh sb="24" eb="25">
      <t>ミ</t>
    </rPh>
    <rPh sb="41" eb="43">
      <t>ヒョウジ</t>
    </rPh>
    <rPh sb="54" eb="55">
      <t>シャ</t>
    </rPh>
    <rPh sb="74" eb="75">
      <t>タダ</t>
    </rPh>
    <rPh sb="81" eb="82">
      <t>シャ</t>
    </rPh>
    <phoneticPr fontId="2"/>
  </si>
  <si>
    <r>
      <t>・積算担当者コードのテキストボックスの右に
　「見つかりません」というメッセージが表示されること
・積算担当者コードのテキストボックスの下に
　「※正しい積算担当者コードを入力してください」というメッセージが表示されること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1" eb="3">
      <t>セキサン</t>
    </rPh>
    <rPh sb="3" eb="5">
      <t>タントウ</t>
    </rPh>
    <rPh sb="5" eb="6">
      <t>シャ</t>
    </rPh>
    <rPh sb="19" eb="20">
      <t>ミギ</t>
    </rPh>
    <rPh sb="24" eb="25">
      <t>ミ</t>
    </rPh>
    <rPh sb="41" eb="43">
      <t>ヒョウジ</t>
    </rPh>
    <rPh sb="74" eb="75">
      <t>タダ</t>
    </rPh>
    <rPh sb="81" eb="82">
      <t>シャ</t>
    </rPh>
    <phoneticPr fontId="2"/>
  </si>
  <si>
    <t>画面を開いた直後の画面で、表示/非表示や活性/非活性が期待値通りであること（権限や状態などによる分岐も確認以下同）</t>
  </si>
  <si>
    <t>期待値通りであること（色、フォント、フォントサイズ、文字の寄せ方向、マージン、境界線の太さなど）</t>
  </si>
  <si>
    <t>リストのアイテムが期待値通りであること、文字切れしていないこと</t>
    <phoneticPr fontId="2"/>
  </si>
  <si>
    <t>①アイテム区分はプルダウンから「全体」を選択する
②版数に「1」を入力する
③設計担当部署コードに「0070」を入力する
④設計担当者コードに「00003」を入力する
⑤積算担当部署コードに「0000」を入力する
⑥積算担当者コードに「00006」を入力する
⑦登録ボタンを押下する</t>
    <rPh sb="5" eb="7">
      <t>クブン</t>
    </rPh>
    <rPh sb="16" eb="18">
      <t>ゼンタイ</t>
    </rPh>
    <rPh sb="20" eb="22">
      <t>センタク</t>
    </rPh>
    <rPh sb="26" eb="28">
      <t>ハンスウ</t>
    </rPh>
    <rPh sb="33" eb="35">
      <t>ニュウリョク</t>
    </rPh>
    <rPh sb="85" eb="87">
      <t>セキサン</t>
    </rPh>
    <rPh sb="112" eb="113">
      <t>シャ</t>
    </rPh>
    <rPh sb="131" eb="133">
      <t>トウロク</t>
    </rPh>
    <rPh sb="137" eb="139">
      <t>オウカ</t>
    </rPh>
    <phoneticPr fontId="2"/>
  </si>
  <si>
    <r>
      <t>・積算担当部署コードのテキストボックスの右に
　「見つかりません」というメッセージが表示されること
・積算担当部署コードのテキストボックスの下に
　「※正しい積算担当部署コードを入力してください」というメッセージが表示されること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1" eb="3">
      <t>セキサン</t>
    </rPh>
    <rPh sb="3" eb="5">
      <t>タントウ</t>
    </rPh>
    <rPh sb="5" eb="7">
      <t>ブショ</t>
    </rPh>
    <rPh sb="20" eb="21">
      <t>ミギ</t>
    </rPh>
    <rPh sb="25" eb="26">
      <t>ミ</t>
    </rPh>
    <rPh sb="42" eb="44">
      <t>ヒョウジ</t>
    </rPh>
    <rPh sb="55" eb="57">
      <t>ブショ</t>
    </rPh>
    <rPh sb="76" eb="77">
      <t>タダ</t>
    </rPh>
    <phoneticPr fontId="2"/>
  </si>
  <si>
    <r>
      <t>・アイテム区分のテキストボックスの下に
　「※アイテム区分を入力してください」というメッセージが表示されること
・版数のテキストボックスの下に
　「※版数を入力してください」というメッセージが表示されること
・設計担当部署コードのテキストボックスの下に
　「※設計担当部署コードを入力してください」というメッセージが表示されること
・設計担当者コードのテキストボックスの下に
　「※設計担当者コードを入力してください」というメッセージが表示されること
・積算担当部署コードのテキストボックスの下に
　「※積算担当部署コードを入力してください」というメッセージが表示されること
・積算担当者コードのテキストボックスの下に
　「※積算担当者コードを入力してください」というメッセージが表示されること
・「正常に登録しました」というメッセージボックスは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</t>
    </r>
    <rPh sb="105" eb="107">
      <t>セッケイ</t>
    </rPh>
    <rPh sb="107" eb="109">
      <t>タントウ</t>
    </rPh>
    <rPh sb="109" eb="111">
      <t>ブショ</t>
    </rPh>
    <rPh sb="158" eb="160">
      <t>ヒョウジ</t>
    </rPh>
    <rPh sb="167" eb="169">
      <t>セッケイ</t>
    </rPh>
    <rPh sb="231" eb="233">
      <t>ブショ</t>
    </rPh>
    <rPh sb="256" eb="258">
      <t>ブショ</t>
    </rPh>
    <phoneticPr fontId="2"/>
  </si>
  <si>
    <r>
      <t>・アイテム区分のテキストボックスの下に
　「※アイテム区分を入力してください」というメッセージが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・版数のテキストボックスの下に
　「※版数を入力してください」というメッセージが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・設計担当部署コードのテキストボックスの下に
　「※設計担当部署コードを入力してください」というメッセージが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・設計担当者コードのテキストボックスの下に
　「※設計担当者コードを入力してください」というメッセージが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・積算担当部署コードのテキストボックスの下に
　「※積算担当部署コードを入力してください」というメッセージが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・積算担当者コードのテキストボックスの下に
　「※積算担当者コードを入力してください」というメッセージが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・「正常に登録しました」というメッセージボックスが表示されること</t>
    </r>
    <rPh sb="170" eb="172">
      <t>セッケイ</t>
    </rPh>
    <rPh sb="235" eb="237">
      <t>ブショ</t>
    </rPh>
    <rPh sb="356" eb="358">
      <t>セイジョウ</t>
    </rPh>
    <rPh sb="359" eb="361">
      <t>トウロク</t>
    </rPh>
    <rPh sb="379" eb="381">
      <t>ヒョウジ</t>
    </rPh>
    <phoneticPr fontId="2"/>
  </si>
  <si>
    <t>備考</t>
    <rPh sb="0" eb="2">
      <t>ビコウ</t>
    </rPh>
    <phoneticPr fontId="2"/>
  </si>
  <si>
    <t>(以下同)テストは「00001 しふと たろう」でのみ実施につき、
今回の実行結果の判定には、ほかの権限や状態は考慮されていません。</t>
    <rPh sb="1" eb="4">
      <t>イカドウ</t>
    </rPh>
    <rPh sb="27" eb="29">
      <t>ジッシ</t>
    </rPh>
    <rPh sb="34" eb="36">
      <t>コンカイ</t>
    </rPh>
    <rPh sb="37" eb="41">
      <t>ジッコウケッカ</t>
    </rPh>
    <rPh sb="42" eb="44">
      <t>ハンテイ</t>
    </rPh>
    <rPh sb="50" eb="52">
      <t>ケンゲン</t>
    </rPh>
    <rPh sb="53" eb="55">
      <t>ジョウタイ</t>
    </rPh>
    <rPh sb="56" eb="58">
      <t>コウリョ</t>
    </rPh>
    <phoneticPr fontId="2"/>
  </si>
  <si>
    <t>OK</t>
  </si>
  <si>
    <t>保留</t>
  </si>
  <si>
    <t>初期化　押下時に 未選択 であることを確認。</t>
    <rPh sb="0" eb="3">
      <t>ショキカ</t>
    </rPh>
    <rPh sb="4" eb="6">
      <t>オウカ</t>
    </rPh>
    <rPh sb="6" eb="7">
      <t>ジ</t>
    </rPh>
    <rPh sb="9" eb="12">
      <t>ミセンタク</t>
    </rPh>
    <rPh sb="19" eb="21">
      <t>カクニン</t>
    </rPh>
    <phoneticPr fontId="2"/>
  </si>
  <si>
    <t>NG</t>
  </si>
  <si>
    <t>初期化　押下時に 空欄 であることを確認。</t>
    <rPh sb="0" eb="3">
      <t>ショキカ</t>
    </rPh>
    <rPh sb="4" eb="6">
      <t>オウカ</t>
    </rPh>
    <rPh sb="6" eb="7">
      <t>ジ</t>
    </rPh>
    <rPh sb="9" eb="11">
      <t>クウラン</t>
    </rPh>
    <rPh sb="18" eb="20">
      <t>カクニン</t>
    </rPh>
    <phoneticPr fontId="2"/>
  </si>
  <si>
    <t>初期化　押下時に 0070 であることを確認。</t>
    <rPh sb="0" eb="3">
      <t>ショキカ</t>
    </rPh>
    <rPh sb="4" eb="6">
      <t>オウカ</t>
    </rPh>
    <rPh sb="6" eb="7">
      <t>ジ</t>
    </rPh>
    <rPh sb="20" eb="22">
      <t>カクニン</t>
    </rPh>
    <phoneticPr fontId="2"/>
  </si>
  <si>
    <t>初期化　押下時に 設計G であることを確認。</t>
    <rPh sb="0" eb="3">
      <t>ショキカ</t>
    </rPh>
    <rPh sb="4" eb="6">
      <t>オウカ</t>
    </rPh>
    <rPh sb="6" eb="7">
      <t>ジ</t>
    </rPh>
    <rPh sb="9" eb="11">
      <t>セッケイ</t>
    </rPh>
    <rPh sb="19" eb="21">
      <t>カクニン</t>
    </rPh>
    <phoneticPr fontId="2"/>
  </si>
  <si>
    <t>初期化　押下時に 00003 であることを確認。</t>
    <rPh sb="0" eb="3">
      <t>ショキカ</t>
    </rPh>
    <rPh sb="4" eb="6">
      <t>オウカ</t>
    </rPh>
    <rPh sb="6" eb="7">
      <t>ジ</t>
    </rPh>
    <rPh sb="21" eb="23">
      <t>カクニン</t>
    </rPh>
    <phoneticPr fontId="2"/>
  </si>
  <si>
    <t>初期化　押下時に 0080 であることを確認。</t>
    <rPh sb="0" eb="3">
      <t>ショキカ</t>
    </rPh>
    <rPh sb="4" eb="6">
      <t>オウカ</t>
    </rPh>
    <rPh sb="6" eb="7">
      <t>ジ</t>
    </rPh>
    <rPh sb="20" eb="22">
      <t>カクニン</t>
    </rPh>
    <phoneticPr fontId="2"/>
  </si>
  <si>
    <t>初期化　押下時に 積算G であることを確認。</t>
    <rPh sb="0" eb="3">
      <t>ショキカ</t>
    </rPh>
    <rPh sb="4" eb="6">
      <t>オウカ</t>
    </rPh>
    <rPh sb="6" eb="7">
      <t>ジ</t>
    </rPh>
    <rPh sb="9" eb="11">
      <t>セキサン</t>
    </rPh>
    <rPh sb="19" eb="21">
      <t>カクニン</t>
    </rPh>
    <phoneticPr fontId="2"/>
  </si>
  <si>
    <t>初期化　押下時に 00006 であることを確認。</t>
    <rPh sb="0" eb="3">
      <t>ショキカ</t>
    </rPh>
    <rPh sb="4" eb="6">
      <t>オウカ</t>
    </rPh>
    <rPh sb="6" eb="7">
      <t>ジ</t>
    </rPh>
    <rPh sb="21" eb="23">
      <t>カクニン</t>
    </rPh>
    <phoneticPr fontId="2"/>
  </si>
  <si>
    <t>初期化　押下時に さっぽろ はなこ であることを確認。</t>
    <rPh sb="0" eb="3">
      <t>ショキカ</t>
    </rPh>
    <rPh sb="4" eb="6">
      <t>オウカ</t>
    </rPh>
    <rPh sb="6" eb="7">
      <t>ジ</t>
    </rPh>
    <rPh sb="24" eb="26">
      <t>カクニン</t>
    </rPh>
    <phoneticPr fontId="2"/>
  </si>
  <si>
    <t>0以上の値：黒色であることを確認
マイナスの値：赤字であることを確認</t>
    <rPh sb="1" eb="3">
      <t>イジョウ</t>
    </rPh>
    <rPh sb="4" eb="5">
      <t>アタイ</t>
    </rPh>
    <rPh sb="6" eb="7">
      <t>クロ</t>
    </rPh>
    <rPh sb="7" eb="8">
      <t>イロ</t>
    </rPh>
    <rPh sb="14" eb="16">
      <t>カクニン</t>
    </rPh>
    <rPh sb="22" eb="23">
      <t>アタイ</t>
    </rPh>
    <rPh sb="24" eb="26">
      <t>アカジ</t>
    </rPh>
    <rPh sb="32" eb="34">
      <t>カクニン</t>
    </rPh>
    <phoneticPr fontId="2"/>
  </si>
  <si>
    <t>0以上の値：OK
マイナスの値：未確認</t>
    <rPh sb="1" eb="3">
      <t>イジョウ</t>
    </rPh>
    <rPh sb="4" eb="5">
      <t>アタイ</t>
    </rPh>
    <rPh sb="14" eb="15">
      <t>アタイ</t>
    </rPh>
    <rPh sb="16" eb="17">
      <t>ミ</t>
    </rPh>
    <rPh sb="17" eb="19">
      <t>カクニン</t>
    </rPh>
    <phoneticPr fontId="2"/>
  </si>
  <si>
    <t>すべての列で計算式がA-Bになっていることを確認</t>
    <rPh sb="4" eb="5">
      <t>レツ</t>
    </rPh>
    <rPh sb="6" eb="9">
      <t>ケイサンシキ</t>
    </rPh>
    <rPh sb="22" eb="24">
      <t>カクニン</t>
    </rPh>
    <phoneticPr fontId="2"/>
  </si>
  <si>
    <t>すべての列で計算式がC-Dになっていることを確認</t>
    <rPh sb="4" eb="5">
      <t>レツ</t>
    </rPh>
    <rPh sb="6" eb="9">
      <t>ケイサンシキ</t>
    </rPh>
    <rPh sb="22" eb="24">
      <t>カクニン</t>
    </rPh>
    <phoneticPr fontId="2"/>
  </si>
  <si>
    <t>金額：3桁ごとにカンマが打たれることを確認
比率：小数点以下1桁まで表示されることを確認</t>
    <rPh sb="0" eb="2">
      <t>キンガク</t>
    </rPh>
    <rPh sb="4" eb="5">
      <t>ケタ</t>
    </rPh>
    <rPh sb="12" eb="13">
      <t>ウ</t>
    </rPh>
    <rPh sb="19" eb="21">
      <t>カクニン</t>
    </rPh>
    <rPh sb="22" eb="24">
      <t>ヒリツ</t>
    </rPh>
    <rPh sb="34" eb="36">
      <t>ヒョウジ</t>
    </rPh>
    <rPh sb="42" eb="44">
      <t>カクニン</t>
    </rPh>
    <phoneticPr fontId="2"/>
  </si>
  <si>
    <t>すべての列で計算式がE-Fになっていることを確認</t>
    <rPh sb="4" eb="5">
      <t>レツ</t>
    </rPh>
    <rPh sb="6" eb="9">
      <t>ケイサンシキ</t>
    </rPh>
    <rPh sb="22" eb="24">
      <t>カクニン</t>
    </rPh>
    <phoneticPr fontId="2"/>
  </si>
  <si>
    <t>・NG：「※アイテム区分を入力してください」が表示されない
・NG：「正常に登録しました」が表示される</t>
    <rPh sb="23" eb="25">
      <t>ヒョウジ</t>
    </rPh>
    <rPh sb="35" eb="37">
      <t>セイジョウ</t>
    </rPh>
    <rPh sb="38" eb="40">
      <t>トウロク</t>
    </rPh>
    <rPh sb="46" eb="48">
      <t>ヒョウジ</t>
    </rPh>
    <phoneticPr fontId="2"/>
  </si>
  <si>
    <t>・NG：「※版数を数値で入力してください」が表示されない
・NG：「正常に登録しました」が表示される</t>
    <rPh sb="22" eb="24">
      <t>ヒョウジ</t>
    </rPh>
    <rPh sb="34" eb="36">
      <t>セイジョウ</t>
    </rPh>
    <rPh sb="37" eb="39">
      <t>トウロク</t>
    </rPh>
    <rPh sb="45" eb="47">
      <t>ヒョウジ</t>
    </rPh>
    <phoneticPr fontId="2"/>
  </si>
  <si>
    <t>・OK：設計担当部署コードのテキストボックスの右に「見つかりません」が表示される
・NG：設計担当部署コードのテキストボックスの下に「正しい設計担当部署コードを入力してください」が表示されない
・NG：「正常に登録しました」が表示される</t>
    <rPh sb="35" eb="37">
      <t>ヒョウジ</t>
    </rPh>
    <rPh sb="90" eb="92">
      <t>ヒョウジ</t>
    </rPh>
    <phoneticPr fontId="2"/>
  </si>
  <si>
    <t>・OK：積算担当部署コードのテキストボックスの右に「見つかりません」が表示される
・OK：積算担当部署コードのテキストボックスの下に「正しい積算担当者コードを入力してください」が表示される
・OK：「正常に登録しました」が表示される</t>
    <rPh sb="4" eb="6">
      <t>セキサン</t>
    </rPh>
    <rPh sb="35" eb="37">
      <t>ヒョウジ</t>
    </rPh>
    <rPh sb="45" eb="47">
      <t>セキサン</t>
    </rPh>
    <rPh sb="70" eb="72">
      <t>セキサン</t>
    </rPh>
    <rPh sb="74" eb="75">
      <t>シャ</t>
    </rPh>
    <rPh sb="89" eb="91">
      <t>ヒョウジ</t>
    </rPh>
    <phoneticPr fontId="2"/>
  </si>
  <si>
    <t>・OK：積算担当者コードのテキストボックスの右に「見つかりません」が表示される
・OK：積算担当者コードのテキストボックスの下に「正しい積算担当者コードを入力してください」が表示される
・OK：「正常に登録しました」が表示されない</t>
    <rPh sb="4" eb="6">
      <t>セキサン</t>
    </rPh>
    <rPh sb="6" eb="9">
      <t>タントウシャ</t>
    </rPh>
    <rPh sb="34" eb="36">
      <t>ヒョウジ</t>
    </rPh>
    <rPh sb="44" eb="46">
      <t>セキサン</t>
    </rPh>
    <rPh sb="48" eb="49">
      <t>シャ</t>
    </rPh>
    <rPh sb="68" eb="70">
      <t>セキサン</t>
    </rPh>
    <rPh sb="72" eb="73">
      <t>シャ</t>
    </rPh>
    <rPh sb="87" eb="89">
      <t>ヒョウジ</t>
    </rPh>
    <phoneticPr fontId="2"/>
  </si>
  <si>
    <t>・NG：設計担当者コードのテキストボックスの右に「見つかりません」が表示されない
・NG：設計担当者コードのテキストボックスの下に「正しい設計担当者コードを入力してください」が表示されない
・NG：「正常に登録しました」が表示される</t>
    <rPh sb="8" eb="9">
      <t>シャ</t>
    </rPh>
    <rPh sb="34" eb="36">
      <t>ヒョウジ</t>
    </rPh>
    <rPh sb="49" eb="50">
      <t>シャ</t>
    </rPh>
    <rPh sb="73" eb="74">
      <t>シャ</t>
    </rPh>
    <rPh sb="88" eb="90">
      <t>ヒョウジ</t>
    </rPh>
    <phoneticPr fontId="2"/>
  </si>
  <si>
    <t>・NG：アイテム区分のテキストボックスの下に「※アイテム区分を入力してください」というメッセージが表示されない
・OK：版数のテキストボックスの下に「※版数を入力してください」というメッセージが表示される
・OK：設計担当部署コードのテキストボックスの下に「※設計担当部署コードを入力してください」というメッセージが表示される
・OK：設計担当者コードのテキストボックスの下に「※設計担当者コードを入力してください」というメッセージが表示される
・OK：積算担当部署コードのテキストボックスの下に「※積算担当部署コードを入力してください」というメッセージが表示される
・NG：積算担当者コードのテキストボックスの下に「※積算担当者コードを入力してください」ではなく「※設計担当者コードを入力してください」が表示される
・OK：「正常に登録しました」というメッセージボックスは表示されない</t>
    <rPh sb="353" eb="355">
      <t>ヒョウジ</t>
    </rPh>
    <phoneticPr fontId="2"/>
  </si>
  <si>
    <r>
      <t>・OK：アイテム区分のテキストボックスの下に「※アイテム区分を入力してください」というメッセージが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 xml:space="preserve">
・OK：版数のテキストボックスの下に「※版数を入力してください」というメッセージが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 xml:space="preserve">
・OK：設計担当部署コードのテキストボックスの下に「※設計担当部署コードを入力してください」というメッセージが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 xml:space="preserve">
・OK：設計担当者コードのテキストボックスの下に「※設計担当者コードを入力してください」というメッセージが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 xml:space="preserve">
・OK：積算担当部署コードのテキストボックスの下に「※積算担当部署コードを入力してください」というメッセージが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 xml:space="preserve">
・OK：積算担当者コードのテキストボックスの下に「※積算担当者コードを入力してください」というメッセージが</t>
    </r>
    <r>
      <rPr>
        <u/>
        <sz val="9"/>
        <rFont val="Meiryo UI"/>
        <family val="3"/>
        <charset val="128"/>
      </rPr>
      <t>表示されない</t>
    </r>
    <r>
      <rPr>
        <sz val="9"/>
        <rFont val="Meiryo UI"/>
        <family val="3"/>
        <charset val="128"/>
      </rPr>
      <t>こと
・OK：「正常に登録しました」というメッセージボックスが表示される</t>
    </r>
    <rPh sb="170" eb="172">
      <t>セッケイ</t>
    </rPh>
    <rPh sb="234" eb="236">
      <t>ブショ</t>
    </rPh>
    <rPh sb="355" eb="357">
      <t>セイジョウ</t>
    </rPh>
    <rPh sb="358" eb="360">
      <t>トウロク</t>
    </rPh>
    <rPh sb="378" eb="380">
      <t>ヒョウジ</t>
    </rPh>
    <phoneticPr fontId="2"/>
  </si>
  <si>
    <t>NG：基準予算 最新版数の計算で直接販売費の計算式が仕様と異なる（直接販売費が二重計上されている）</t>
    <rPh sb="3" eb="7">
      <t>キジュンヨサン</t>
    </rPh>
    <rPh sb="8" eb="10">
      <t>サイシン</t>
    </rPh>
    <rPh sb="10" eb="12">
      <t>ハンスウ</t>
    </rPh>
    <rPh sb="13" eb="15">
      <t>ケイサン</t>
    </rPh>
    <rPh sb="16" eb="21">
      <t>チョクセツハンバイヒ</t>
    </rPh>
    <rPh sb="22" eb="25">
      <t>ケイサンシキ</t>
    </rPh>
    <rPh sb="26" eb="28">
      <t>シヨウ</t>
    </rPh>
    <rPh sb="29" eb="30">
      <t>コト</t>
    </rPh>
    <rPh sb="33" eb="38">
      <t>チョクセツハンバイヒ</t>
    </rPh>
    <rPh sb="39" eb="41">
      <t>ニジュウ</t>
    </rPh>
    <rPh sb="41" eb="43">
      <t>ケイジョウ</t>
    </rPh>
    <phoneticPr fontId="2"/>
  </si>
  <si>
    <t>・OK：初期化　押下時に とうきょう たろう であることを確認。
・NG:DATAにない値を入力した場合、 見つかりません が表示されない</t>
    <rPh sb="4" eb="7">
      <t>ショキカ</t>
    </rPh>
    <rPh sb="8" eb="10">
      <t>オウカ</t>
    </rPh>
    <rPh sb="10" eb="11">
      <t>ジ</t>
    </rPh>
    <rPh sb="29" eb="31">
      <t>カクニン</t>
    </rPh>
    <rPh sb="44" eb="45">
      <t>アタイ</t>
    </rPh>
    <rPh sb="46" eb="48">
      <t>ニュウリョク</t>
    </rPh>
    <rPh sb="50" eb="52">
      <t>バアイ</t>
    </rPh>
    <rPh sb="54" eb="55">
      <t>ミ</t>
    </rPh>
    <rPh sb="63" eb="65">
      <t>ヒョウジ</t>
    </rPh>
    <phoneticPr fontId="2"/>
  </si>
  <si>
    <t>・金額NG：カンマがない -&gt; 工番伝票 最新版数
・比率NG：小数点以下表示がない -&gt; 基準予算1版、工番伝票 最新版数、基準予算 最新版数</t>
    <rPh sb="1" eb="3">
      <t>キンガク</t>
    </rPh>
    <rPh sb="16" eb="18">
      <t>コウバン</t>
    </rPh>
    <rPh sb="18" eb="20">
      <t>デンピョウ</t>
    </rPh>
    <rPh sb="21" eb="24">
      <t>サイシンバン</t>
    </rPh>
    <rPh sb="24" eb="25">
      <t>スウ</t>
    </rPh>
    <rPh sb="27" eb="29">
      <t>ヒリツ</t>
    </rPh>
    <rPh sb="32" eb="35">
      <t>ショウスウテン</t>
    </rPh>
    <rPh sb="35" eb="37">
      <t>イカ</t>
    </rPh>
    <rPh sb="37" eb="39">
      <t>ヒョウジ</t>
    </rPh>
    <rPh sb="46" eb="48">
      <t>キジュン</t>
    </rPh>
    <rPh sb="48" eb="50">
      <t>ヨサン</t>
    </rPh>
    <rPh sb="51" eb="52">
      <t>ハン</t>
    </rPh>
    <rPh sb="63" eb="67">
      <t>キジュンヨサン</t>
    </rPh>
    <rPh sb="68" eb="71">
      <t>サイシンバン</t>
    </rPh>
    <rPh sb="71" eb="72">
      <t>スウ</t>
    </rPh>
    <phoneticPr fontId="2"/>
  </si>
  <si>
    <t>3,4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</si>
</sst>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F800]dddd\,\ mmmm\ dd\,\ yyyy"/>
  </numFmts>
  <fonts count="29" x14ac:knownFonts="1">
    <font>
      <sz val="11"/>
      <color theme="1"/>
      <name val="ＭＳ Ｐゴシック"/>
      <family val="2"/>
      <charset val="128"/>
      <scheme val="minor"/>
    </font>
    <font>
      <sz val="9"/>
      <color indexed="8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49"/>
      <name val="Meiryo UI"/>
      <family val="3"/>
      <charset val="128"/>
    </font>
    <font>
      <sz val="11"/>
      <name val="ＭＳ Ｐゴシック"/>
      <family val="3"/>
      <charset val="128"/>
    </font>
    <font>
      <b/>
      <sz val="9"/>
      <color indexed="9"/>
      <name val="Meiryo UI"/>
      <family val="3"/>
      <charset val="128"/>
    </font>
    <font>
      <sz val="9"/>
      <color indexed="9"/>
      <name val="Meiryo UI"/>
      <family val="3"/>
      <charset val="128"/>
    </font>
    <font>
      <sz val="9"/>
      <name val="ＭＳ Ｐゴシック"/>
      <family val="3"/>
      <charset val="128"/>
    </font>
    <font>
      <sz val="9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theme="0" tint="-0.249977111117893"/>
      <name val="Meiryo UI"/>
      <family val="3"/>
      <charset val="128"/>
    </font>
    <font>
      <sz val="14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6"/>
      <color indexed="8"/>
      <name val="Meiryo UI"/>
      <family val="3"/>
      <charset val="128"/>
    </font>
    <font>
      <sz val="11"/>
      <color indexed="8"/>
      <name val="Meiryo UI"/>
      <family val="3"/>
      <charset val="128"/>
    </font>
    <font>
      <b/>
      <sz val="11"/>
      <name val="Meiryo UI"/>
      <family val="3"/>
      <charset val="128"/>
    </font>
    <font>
      <sz val="11"/>
      <color indexed="9"/>
      <name val="Meiryo UI"/>
      <family val="3"/>
      <charset val="128"/>
    </font>
    <font>
      <b/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11"/>
      <color rgb="FF111111"/>
      <name val="Meiryo UI"/>
      <family val="3"/>
      <charset val="128"/>
    </font>
    <font>
      <sz val="18"/>
      <color indexed="8"/>
      <name val="Meiryo UI"/>
      <family val="3"/>
      <charset val="128"/>
    </font>
    <font>
      <sz val="28"/>
      <color indexed="8"/>
      <name val="Meiryo UI"/>
      <family val="3"/>
      <charset val="128"/>
    </font>
    <font>
      <b/>
      <sz val="48"/>
      <color indexed="8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8"/>
      <color indexed="8"/>
      <name val="Meiryo UI"/>
      <family val="3"/>
      <charset val="128"/>
    </font>
    <font>
      <u/>
      <sz val="9"/>
      <name val="Meiryo UI"/>
      <family val="3"/>
      <charset val="128"/>
    </font>
    <font>
      <sz val="12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2"/>
      </patternFill>
    </fill>
    <fill>
      <patternFill patternType="solid">
        <fgColor theme="0" tint="-0.499984740745262"/>
        <bgColor indexed="58"/>
      </patternFill>
    </fill>
    <fill>
      <patternFill patternType="solid">
        <fgColor indexed="44"/>
        <bgColor indexed="31"/>
      </patternFill>
    </fill>
    <fill>
      <patternFill patternType="solid">
        <fgColor indexed="56"/>
        <bgColor indexed="62"/>
      </patternFill>
    </fill>
    <fill>
      <patternFill patternType="solid">
        <fgColor indexed="47"/>
        <bgColor indexed="13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26">
    <xf numFmtId="0" fontId="0" fillId="0" borderId="0" xfId="0">
      <alignment vertical="center"/>
    </xf>
    <xf numFmtId="0" fontId="1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 shrinkToFit="1"/>
    </xf>
    <xf numFmtId="0" fontId="1" fillId="0" borderId="0" xfId="1" applyFont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 shrinkToFi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 shrinkToFit="1"/>
    </xf>
    <xf numFmtId="0" fontId="12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4" fillId="0" borderId="0" xfId="0" applyFont="1">
      <alignment vertical="center"/>
    </xf>
    <xf numFmtId="0" fontId="13" fillId="0" borderId="12" xfId="3" applyFont="1" applyBorder="1">
      <alignment vertical="center"/>
    </xf>
    <xf numFmtId="0" fontId="13" fillId="0" borderId="0" xfId="3" applyFont="1">
      <alignment vertical="center"/>
    </xf>
    <xf numFmtId="0" fontId="13" fillId="0" borderId="13" xfId="3" applyFont="1" applyBorder="1">
      <alignment vertical="center"/>
    </xf>
    <xf numFmtId="0" fontId="14" fillId="0" borderId="12" xfId="0" applyFont="1" applyBorder="1">
      <alignment vertical="center"/>
    </xf>
    <xf numFmtId="0" fontId="14" fillId="0" borderId="13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left"/>
    </xf>
    <xf numFmtId="0" fontId="14" fillId="0" borderId="10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12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9" fillId="0" borderId="7" xfId="0" applyFont="1" applyBorder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14" fillId="0" borderId="39" xfId="0" applyFont="1" applyBorder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40" xfId="0" applyFont="1" applyBorder="1">
      <alignment vertical="center"/>
    </xf>
    <xf numFmtId="0" fontId="13" fillId="0" borderId="0" xfId="3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11" fillId="0" borderId="8" xfId="0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5" fillId="7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46" xfId="1" applyFont="1" applyBorder="1" applyAlignment="1">
      <alignment horizontal="left" vertical="center" wrapText="1"/>
    </xf>
    <xf numFmtId="0" fontId="8" fillId="3" borderId="38" xfId="1" applyFont="1" applyFill="1" applyBorder="1" applyAlignment="1">
      <alignment horizontal="center" vertical="center" wrapText="1" shrinkToFit="1"/>
    </xf>
    <xf numFmtId="0" fontId="1" fillId="0" borderId="1" xfId="1" applyFont="1" applyBorder="1" applyAlignment="1">
      <alignment horizontal="center" vertical="center" wrapText="1"/>
    </xf>
    <xf numFmtId="0" fontId="23" fillId="8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177" fontId="15" fillId="0" borderId="0" xfId="3" applyNumberFormat="1" applyFont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4" fillId="0" borderId="0" xfId="3" applyFont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2" fillId="8" borderId="7" xfId="3" applyFont="1" applyFill="1" applyBorder="1" applyAlignment="1">
      <alignment horizontal="center" vertical="center" wrapText="1"/>
    </xf>
    <xf numFmtId="0" fontId="22" fillId="8" borderId="0" xfId="3" applyFont="1" applyFill="1" applyAlignment="1">
      <alignment horizontal="center" vertical="center" wrapText="1"/>
    </xf>
    <xf numFmtId="0" fontId="22" fillId="8" borderId="25" xfId="3" applyFont="1" applyFill="1" applyBorder="1" applyAlignment="1">
      <alignment horizontal="center" vertical="center" wrapText="1"/>
    </xf>
    <xf numFmtId="0" fontId="22" fillId="8" borderId="38" xfId="3" applyFont="1" applyFill="1" applyBorder="1" applyAlignment="1">
      <alignment horizontal="center" vertical="center" wrapText="1"/>
    </xf>
    <xf numFmtId="0" fontId="22" fillId="8" borderId="39" xfId="3" applyFont="1" applyFill="1" applyBorder="1" applyAlignment="1">
      <alignment horizontal="center" vertical="center" wrapText="1"/>
    </xf>
    <xf numFmtId="0" fontId="22" fillId="8" borderId="40" xfId="3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left" vertical="center"/>
    </xf>
    <xf numFmtId="0" fontId="14" fillId="0" borderId="24" xfId="3" applyFont="1" applyBorder="1" applyAlignment="1">
      <alignment horizontal="left" vertical="center" wrapText="1"/>
    </xf>
    <xf numFmtId="0" fontId="14" fillId="0" borderId="24" xfId="3" applyFont="1" applyBorder="1" applyAlignment="1">
      <alignment horizontal="left" vertical="center"/>
    </xf>
    <xf numFmtId="0" fontId="14" fillId="0" borderId="21" xfId="3" applyFont="1" applyBorder="1" applyAlignment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14" fontId="14" fillId="0" borderId="16" xfId="0" applyNumberFormat="1" applyFont="1" applyBorder="1" applyAlignment="1">
      <alignment horizontal="left" vertical="center"/>
    </xf>
    <xf numFmtId="14" fontId="14" fillId="0" borderId="17" xfId="0" applyNumberFormat="1" applyFont="1" applyBorder="1" applyAlignment="1">
      <alignment horizontal="left" vertical="center"/>
    </xf>
    <xf numFmtId="0" fontId="14" fillId="0" borderId="2" xfId="0" quotePrefix="1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4" fontId="14" fillId="0" borderId="2" xfId="0" applyNumberFormat="1" applyFont="1" applyBorder="1" applyAlignment="1">
      <alignment horizontal="left" vertical="center"/>
    </xf>
    <xf numFmtId="14" fontId="14" fillId="0" borderId="21" xfId="0" applyNumberFormat="1" applyFont="1" applyBorder="1" applyAlignment="1">
      <alignment horizontal="left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6" fillId="0" borderId="1" xfId="3" applyFont="1" applyBorder="1" applyAlignment="1">
      <alignment horizontal="left" vertical="center"/>
    </xf>
    <xf numFmtId="14" fontId="14" fillId="0" borderId="34" xfId="0" applyNumberFormat="1" applyFont="1" applyBorder="1" applyAlignment="1" applyProtection="1">
      <alignment horizontal="center" vertical="center"/>
      <protection locked="0"/>
    </xf>
    <xf numFmtId="14" fontId="14" fillId="0" borderId="35" xfId="0" applyNumberFormat="1" applyFont="1" applyBorder="1" applyAlignment="1" applyProtection="1">
      <alignment horizontal="center" vertical="center"/>
      <protection locked="0"/>
    </xf>
    <xf numFmtId="176" fontId="14" fillId="0" borderId="16" xfId="0" quotePrefix="1" applyNumberFormat="1" applyFont="1" applyBorder="1" applyAlignment="1" applyProtection="1">
      <alignment horizontal="center" vertical="center"/>
      <protection locked="0"/>
    </xf>
    <xf numFmtId="176" fontId="14" fillId="0" borderId="16" xfId="0" applyNumberFormat="1" applyFont="1" applyBorder="1" applyAlignment="1" applyProtection="1">
      <alignment horizontal="center" vertical="center"/>
      <protection locked="0"/>
    </xf>
    <xf numFmtId="14" fontId="14" fillId="0" borderId="16" xfId="0" applyNumberFormat="1" applyFont="1" applyBorder="1" applyAlignment="1" applyProtection="1">
      <alignment horizontal="center" vertical="center"/>
      <protection locked="0"/>
    </xf>
    <xf numFmtId="0" fontId="14" fillId="0" borderId="31" xfId="0" applyFont="1" applyBorder="1" applyAlignment="1" applyProtection="1">
      <alignment horizontal="center" vertical="center"/>
      <protection locked="0"/>
    </xf>
    <xf numFmtId="0" fontId="14" fillId="0" borderId="32" xfId="0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 vertical="center"/>
      <protection locked="0"/>
    </xf>
    <xf numFmtId="14" fontId="14" fillId="0" borderId="22" xfId="0" applyNumberFormat="1" applyFont="1" applyBorder="1" applyAlignment="1" applyProtection="1">
      <alignment horizontal="center" vertical="center"/>
      <protection locked="0"/>
    </xf>
    <xf numFmtId="14" fontId="14" fillId="0" borderId="23" xfId="0" applyNumberFormat="1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  <protection locked="0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14" fontId="14" fillId="0" borderId="14" xfId="0" applyNumberFormat="1" applyFont="1" applyBorder="1" applyAlignment="1" applyProtection="1">
      <alignment horizontal="center" vertical="center"/>
      <protection locked="0"/>
    </xf>
    <xf numFmtId="14" fontId="14" fillId="0" borderId="15" xfId="0" applyNumberFormat="1" applyFont="1" applyBorder="1" applyAlignment="1" applyProtection="1">
      <alignment horizontal="center" vertical="center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0" fontId="14" fillId="0" borderId="24" xfId="0" applyFont="1" applyBorder="1" applyAlignment="1" applyProtection="1">
      <alignment horizontal="center" vertical="center"/>
      <protection locked="0"/>
    </xf>
    <xf numFmtId="0" fontId="14" fillId="0" borderId="21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/>
    </xf>
    <xf numFmtId="0" fontId="20" fillId="6" borderId="45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5">
    <cellStyle name="Excel Built-in Normal" xfId="1" xr:uid="{00000000-0005-0000-0000-000000000000}"/>
    <cellStyle name="標準" xfId="0" builtinId="0"/>
    <cellStyle name="標準 12" xfId="4" xr:uid="{F84CC507-0106-4BDE-B466-00C3328D7FF8}"/>
    <cellStyle name="標準 2" xfId="3" xr:uid="{00000000-0005-0000-0000-000002000000}"/>
    <cellStyle name="標準_基準書(佐藤)" xfId="2" xr:uid="{00000000-0005-0000-0000-000003000000}"/>
  </cellStyles>
  <dxfs count="8">
    <dxf>
      <font>
        <b/>
        <i val="0"/>
        <color theme="1" tint="0.24994659260841701"/>
      </font>
      <fill>
        <patternFill patternType="solid">
          <bgColor theme="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color theme="8" tint="-0.24994659260841701"/>
      </font>
      <fill>
        <patternFill patternType="solid">
          <bgColor theme="4" tint="0.79998168889431442"/>
        </patternFill>
      </fill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font>
        <b/>
        <i val="0"/>
        <color rgb="FFFF0000"/>
      </font>
      <fill>
        <patternFill patternType="solid">
          <bgColor theme="5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theme="7" tint="-0.24994659260841701"/>
      </font>
      <fill>
        <patternFill patternType="solid">
          <bgColor theme="7" tint="0.79998168889431442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font>
        <b/>
        <i val="0"/>
        <color theme="2" tint="-0.749961851863155"/>
      </font>
      <fill>
        <patternFill>
          <bgColor theme="2" tint="-0.24994659260841701"/>
        </patternFill>
      </fill>
      <border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/>
        <horizontal/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65315</xdr:colOff>
      <xdr:row>60</xdr:row>
      <xdr:rowOff>50347</xdr:rowOff>
    </xdr:from>
    <xdr:to>
      <xdr:col>36</xdr:col>
      <xdr:colOff>141515</xdr:colOff>
      <xdr:row>62</xdr:row>
      <xdr:rowOff>117023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1315" y="9847490"/>
          <a:ext cx="1817914" cy="425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65"/>
  <sheetViews>
    <sheetView showGridLines="0" view="pageBreakPreview" zoomScale="70" zoomScaleNormal="100" zoomScaleSheetLayoutView="70" workbookViewId="0"/>
  </sheetViews>
  <sheetFormatPr defaultColWidth="3.109375" defaultRowHeight="15" x14ac:dyDescent="0.2"/>
  <cols>
    <col min="1" max="16384" width="3.109375" style="15"/>
  </cols>
  <sheetData>
    <row r="1" spans="1:40" ht="13.5" customHeight="1" x14ac:dyDescent="0.2"/>
    <row r="2" spans="1:40" ht="13.5" customHeight="1" x14ac:dyDescent="0.2">
      <c r="A2" s="16"/>
      <c r="B2" s="17"/>
      <c r="C2" s="17"/>
      <c r="D2" s="17"/>
      <c r="E2" s="17"/>
      <c r="F2" s="17"/>
      <c r="G2" s="17"/>
      <c r="H2" s="17"/>
      <c r="I2" s="17"/>
      <c r="J2" s="17"/>
      <c r="AE2" s="17"/>
      <c r="AF2" s="17"/>
      <c r="AG2" s="17"/>
      <c r="AH2" s="17"/>
      <c r="AI2" s="17"/>
      <c r="AJ2" s="17"/>
      <c r="AK2" s="17"/>
      <c r="AL2" s="17"/>
      <c r="AM2" s="17"/>
      <c r="AN2" s="18"/>
    </row>
    <row r="3" spans="1:40" ht="13.5" customHeight="1" x14ac:dyDescent="0.2">
      <c r="A3" s="16"/>
      <c r="B3" s="17"/>
      <c r="C3" s="17"/>
      <c r="D3" s="17"/>
      <c r="E3" s="17"/>
      <c r="F3" s="17"/>
      <c r="G3" s="17"/>
      <c r="H3" s="17"/>
      <c r="I3" s="17"/>
      <c r="J3" s="17"/>
      <c r="AE3" s="17"/>
      <c r="AF3" s="17"/>
      <c r="AG3" s="17"/>
      <c r="AH3" s="17"/>
      <c r="AI3" s="17"/>
      <c r="AJ3" s="17"/>
      <c r="AK3" s="17"/>
      <c r="AL3" s="17"/>
      <c r="AM3" s="17"/>
      <c r="AN3" s="18"/>
    </row>
    <row r="4" spans="1:40" ht="13.5" customHeight="1" x14ac:dyDescent="0.2">
      <c r="A4" s="16"/>
      <c r="B4" s="17"/>
      <c r="C4" s="17"/>
      <c r="D4" s="17"/>
      <c r="E4" s="17"/>
      <c r="F4" s="17"/>
      <c r="G4" s="17"/>
      <c r="H4" s="17"/>
      <c r="I4" s="17"/>
      <c r="J4" s="17"/>
      <c r="AE4" s="17"/>
      <c r="AF4" s="17"/>
      <c r="AG4" s="17"/>
      <c r="AH4" s="17"/>
      <c r="AI4" s="17"/>
      <c r="AJ4" s="17"/>
      <c r="AK4" s="17"/>
      <c r="AL4" s="17"/>
      <c r="AM4" s="17"/>
      <c r="AN4" s="18"/>
    </row>
    <row r="5" spans="1:40" ht="13.5" customHeight="1" x14ac:dyDescent="0.2">
      <c r="A5" s="16"/>
      <c r="B5" s="17"/>
      <c r="C5" s="17"/>
      <c r="D5" s="17"/>
      <c r="E5" s="17"/>
      <c r="F5" s="17"/>
      <c r="G5" s="17"/>
      <c r="H5" s="17"/>
      <c r="I5" s="17"/>
      <c r="J5" s="17"/>
      <c r="K5" s="53" t="s">
        <v>49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17"/>
      <c r="AF5" s="17"/>
      <c r="AG5" s="17"/>
      <c r="AH5" s="17"/>
      <c r="AI5" s="17"/>
      <c r="AJ5" s="17"/>
      <c r="AK5" s="17"/>
      <c r="AL5" s="17"/>
      <c r="AM5" s="17"/>
      <c r="AN5" s="18"/>
    </row>
    <row r="6" spans="1:40" ht="13.5" customHeight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17"/>
      <c r="AF6" s="17"/>
      <c r="AG6" s="17"/>
      <c r="AH6" s="17"/>
      <c r="AI6" s="17"/>
      <c r="AJ6" s="17"/>
      <c r="AK6" s="17"/>
      <c r="AL6" s="17"/>
      <c r="AM6" s="17"/>
      <c r="AN6" s="18"/>
    </row>
    <row r="7" spans="1:40" ht="13.5" customHeight="1" x14ac:dyDescent="0.2">
      <c r="A7" s="16"/>
      <c r="B7" s="17"/>
      <c r="C7" s="17"/>
      <c r="D7" s="17"/>
      <c r="E7" s="17"/>
      <c r="F7" s="17"/>
      <c r="G7" s="17"/>
      <c r="H7" s="17"/>
      <c r="I7" s="17"/>
      <c r="J7" s="17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17"/>
      <c r="AF7" s="17"/>
      <c r="AG7" s="17"/>
      <c r="AH7" s="17"/>
      <c r="AI7" s="17"/>
      <c r="AJ7" s="17"/>
      <c r="AK7" s="17"/>
      <c r="AL7" s="17"/>
      <c r="AM7" s="17"/>
      <c r="AN7" s="18"/>
    </row>
    <row r="8" spans="1:40" ht="13.5" customHeight="1" x14ac:dyDescent="0.2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8"/>
    </row>
    <row r="9" spans="1:40" ht="13.5" customHeight="1" x14ac:dyDescent="0.2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8"/>
    </row>
    <row r="10" spans="1:40" ht="13.5" customHeight="1" x14ac:dyDescent="0.2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8"/>
    </row>
    <row r="11" spans="1:40" ht="13.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AE11" s="17"/>
      <c r="AF11" s="17"/>
      <c r="AG11" s="17"/>
      <c r="AH11" s="17"/>
      <c r="AI11" s="17"/>
      <c r="AJ11" s="17"/>
      <c r="AK11" s="17"/>
      <c r="AL11" s="17"/>
      <c r="AM11" s="17"/>
      <c r="AN11" s="18"/>
    </row>
    <row r="12" spans="1:40" ht="13.5" customHeight="1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AE12" s="17"/>
      <c r="AF12" s="17"/>
      <c r="AG12" s="17"/>
      <c r="AH12" s="17"/>
      <c r="AI12" s="17"/>
      <c r="AJ12" s="17"/>
      <c r="AK12" s="17"/>
      <c r="AL12" s="17"/>
      <c r="AM12" s="17"/>
      <c r="AN12" s="18"/>
    </row>
    <row r="13" spans="1:40" ht="13.5" customHeight="1" x14ac:dyDescent="0.2">
      <c r="A13" s="16"/>
      <c r="B13" s="17"/>
      <c r="C13" s="17"/>
      <c r="D13" s="17"/>
      <c r="E13" s="17"/>
      <c r="F13" s="17"/>
      <c r="G13" s="17"/>
      <c r="H13" s="17"/>
      <c r="I13" s="17"/>
      <c r="J13" s="17"/>
      <c r="AE13" s="17"/>
      <c r="AF13" s="17"/>
      <c r="AG13" s="17"/>
      <c r="AH13" s="17"/>
      <c r="AI13" s="17"/>
      <c r="AJ13" s="17"/>
      <c r="AK13" s="17"/>
      <c r="AL13" s="17"/>
      <c r="AM13" s="17"/>
      <c r="AN13" s="18"/>
    </row>
    <row r="14" spans="1:40" ht="13.5" customHeight="1" x14ac:dyDescent="0.2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8"/>
    </row>
    <row r="15" spans="1:40" ht="13.5" customHeight="1" x14ac:dyDescent="0.2">
      <c r="A15" s="16"/>
      <c r="B15" s="17"/>
      <c r="C15" s="17"/>
      <c r="D15" s="17"/>
      <c r="E15" s="17"/>
      <c r="F15" s="17"/>
      <c r="G15" s="17"/>
      <c r="H15" s="17"/>
      <c r="I15" s="17"/>
      <c r="J15" s="17"/>
      <c r="AE15" s="17"/>
      <c r="AF15" s="17"/>
      <c r="AG15" s="17"/>
      <c r="AH15" s="17"/>
      <c r="AI15" s="17"/>
      <c r="AJ15" s="17"/>
      <c r="AK15" s="17"/>
      <c r="AL15" s="17"/>
      <c r="AM15" s="17"/>
      <c r="AN15" s="18"/>
    </row>
    <row r="16" spans="1:40" ht="13.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AE16" s="17"/>
      <c r="AF16" s="17"/>
      <c r="AG16" s="17"/>
      <c r="AH16" s="17"/>
      <c r="AI16" s="17"/>
      <c r="AJ16" s="17"/>
      <c r="AK16" s="17"/>
      <c r="AL16" s="17"/>
      <c r="AM16" s="17"/>
      <c r="AN16" s="18"/>
    </row>
    <row r="17" spans="1:40" ht="13.5" customHeight="1" x14ac:dyDescent="0.2">
      <c r="A17" s="16"/>
      <c r="B17" s="17"/>
      <c r="C17" s="17"/>
      <c r="D17" s="17"/>
      <c r="E17" s="17"/>
      <c r="F17" s="17"/>
      <c r="G17" s="56" t="str">
        <f>更新履歴!$G$3</f>
        <v>○○○○検証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8"/>
      <c r="AI17" s="17"/>
      <c r="AJ17" s="17"/>
      <c r="AK17" s="17"/>
      <c r="AL17" s="17"/>
      <c r="AM17" s="17"/>
      <c r="AN17" s="18"/>
    </row>
    <row r="18" spans="1:40" ht="13.5" customHeight="1" x14ac:dyDescent="0.2">
      <c r="A18" s="16"/>
      <c r="B18" s="17"/>
      <c r="C18" s="17"/>
      <c r="D18" s="17"/>
      <c r="E18" s="17"/>
      <c r="F18" s="17"/>
      <c r="G18" s="59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1"/>
      <c r="AI18" s="17"/>
      <c r="AJ18" s="17"/>
      <c r="AK18" s="17"/>
      <c r="AL18" s="17"/>
      <c r="AM18" s="17"/>
      <c r="AN18" s="18"/>
    </row>
    <row r="19" spans="1:40" ht="13.5" customHeight="1" x14ac:dyDescent="0.2">
      <c r="A19" s="16"/>
      <c r="B19" s="17"/>
      <c r="C19" s="17"/>
      <c r="D19" s="17"/>
      <c r="E19" s="17"/>
      <c r="F19" s="17"/>
      <c r="G19" s="59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1"/>
      <c r="AI19" s="17"/>
      <c r="AJ19" s="17"/>
      <c r="AK19" s="17"/>
      <c r="AL19" s="17"/>
      <c r="AM19" s="17"/>
      <c r="AN19" s="18"/>
    </row>
    <row r="20" spans="1:40" ht="13.5" customHeight="1" x14ac:dyDescent="0.2">
      <c r="A20" s="16"/>
      <c r="B20" s="17"/>
      <c r="C20" s="17"/>
      <c r="D20" s="17"/>
      <c r="E20" s="17"/>
      <c r="F20" s="17"/>
      <c r="G20" s="59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1"/>
      <c r="AI20" s="17"/>
      <c r="AJ20" s="17"/>
      <c r="AK20" s="17"/>
      <c r="AL20" s="17"/>
      <c r="AM20" s="17"/>
      <c r="AN20" s="18"/>
    </row>
    <row r="21" spans="1:40" ht="13.5" customHeight="1" x14ac:dyDescent="0.2">
      <c r="A21" s="16"/>
      <c r="B21" s="17"/>
      <c r="C21" s="17"/>
      <c r="D21" s="17"/>
      <c r="E21" s="17"/>
      <c r="F21" s="17"/>
      <c r="G21" s="59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1"/>
      <c r="AI21" s="17"/>
      <c r="AJ21" s="17"/>
      <c r="AK21" s="17"/>
      <c r="AL21" s="17"/>
      <c r="AM21" s="17"/>
      <c r="AN21" s="18"/>
    </row>
    <row r="22" spans="1:40" ht="13.5" customHeight="1" x14ac:dyDescent="0.2">
      <c r="A22" s="16"/>
      <c r="B22" s="17"/>
      <c r="C22" s="17"/>
      <c r="D22" s="17"/>
      <c r="E22" s="17"/>
      <c r="F22" s="17"/>
      <c r="G22" s="59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1"/>
      <c r="AI22" s="17"/>
      <c r="AJ22" s="17"/>
      <c r="AK22" s="17"/>
      <c r="AL22" s="17"/>
      <c r="AM22" s="17"/>
      <c r="AN22" s="18"/>
    </row>
    <row r="23" spans="1:40" ht="13.5" customHeight="1" x14ac:dyDescent="0.2">
      <c r="A23" s="16"/>
      <c r="B23" s="17"/>
      <c r="C23" s="17"/>
      <c r="D23" s="17"/>
      <c r="E23" s="17"/>
      <c r="F23" s="17"/>
      <c r="G23" s="59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1"/>
      <c r="AI23" s="17"/>
      <c r="AJ23" s="17"/>
      <c r="AK23" s="17"/>
      <c r="AL23" s="17"/>
      <c r="AM23" s="17"/>
      <c r="AN23" s="18"/>
    </row>
    <row r="24" spans="1:40" ht="13.5" customHeight="1" x14ac:dyDescent="0.2">
      <c r="A24" s="16"/>
      <c r="B24" s="17"/>
      <c r="C24" s="17"/>
      <c r="D24" s="17"/>
      <c r="E24" s="17"/>
      <c r="F24" s="17"/>
      <c r="G24" s="59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1"/>
      <c r="AI24" s="17"/>
      <c r="AJ24" s="17"/>
      <c r="AK24" s="17"/>
      <c r="AL24" s="17"/>
      <c r="AM24" s="17"/>
      <c r="AN24" s="18"/>
    </row>
    <row r="25" spans="1:40" ht="13.5" customHeight="1" x14ac:dyDescent="0.2">
      <c r="A25" s="16"/>
      <c r="B25" s="17"/>
      <c r="C25" s="17"/>
      <c r="D25" s="17"/>
      <c r="E25" s="17"/>
      <c r="F25" s="17"/>
      <c r="G25" s="59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1"/>
      <c r="AI25" s="17"/>
      <c r="AJ25" s="17"/>
      <c r="AK25" s="17"/>
      <c r="AL25" s="17"/>
      <c r="AM25" s="17"/>
      <c r="AN25" s="18"/>
    </row>
    <row r="26" spans="1:40" ht="13.5" customHeight="1" x14ac:dyDescent="0.2">
      <c r="A26" s="16"/>
      <c r="B26" s="17"/>
      <c r="C26" s="17"/>
      <c r="D26" s="17"/>
      <c r="E26" s="17"/>
      <c r="F26" s="17"/>
      <c r="G26" s="59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1"/>
      <c r="AI26" s="17"/>
      <c r="AJ26" s="17"/>
      <c r="AK26" s="17"/>
      <c r="AL26" s="17"/>
      <c r="AM26" s="17"/>
      <c r="AN26" s="18"/>
    </row>
    <row r="27" spans="1:40" ht="13.5" customHeight="1" x14ac:dyDescent="0.2">
      <c r="A27" s="16"/>
      <c r="B27" s="17"/>
      <c r="C27" s="17"/>
      <c r="D27" s="17"/>
      <c r="E27" s="17"/>
      <c r="F27" s="17"/>
      <c r="G27" s="5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1"/>
      <c r="AI27" s="17"/>
      <c r="AJ27" s="17"/>
      <c r="AK27" s="17"/>
      <c r="AL27" s="17"/>
      <c r="AM27" s="17"/>
      <c r="AN27" s="18"/>
    </row>
    <row r="28" spans="1:40" ht="13.5" customHeight="1" x14ac:dyDescent="0.2">
      <c r="A28" s="16"/>
      <c r="B28" s="17"/>
      <c r="C28" s="17"/>
      <c r="D28" s="17"/>
      <c r="E28" s="17"/>
      <c r="F28" s="17"/>
      <c r="G28" s="59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1"/>
      <c r="AI28" s="17"/>
      <c r="AJ28" s="17"/>
      <c r="AK28" s="17"/>
      <c r="AL28" s="17"/>
      <c r="AM28" s="17"/>
      <c r="AN28" s="18"/>
    </row>
    <row r="29" spans="1:40" ht="13.5" customHeight="1" x14ac:dyDescent="0.2">
      <c r="A29" s="16"/>
      <c r="B29" s="17"/>
      <c r="C29" s="17"/>
      <c r="D29" s="17"/>
      <c r="E29" s="17"/>
      <c r="F29" s="17"/>
      <c r="G29" s="59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1"/>
      <c r="AI29" s="17"/>
      <c r="AJ29" s="17"/>
      <c r="AK29" s="17"/>
      <c r="AL29" s="17"/>
      <c r="AM29" s="17"/>
      <c r="AN29" s="18"/>
    </row>
    <row r="30" spans="1:40" ht="13.5" customHeight="1" x14ac:dyDescent="0.2">
      <c r="A30" s="16"/>
      <c r="B30" s="17"/>
      <c r="C30" s="17"/>
      <c r="D30" s="17"/>
      <c r="E30" s="17"/>
      <c r="F30" s="17"/>
      <c r="G30" s="59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1"/>
      <c r="AI30" s="17"/>
      <c r="AJ30" s="17"/>
      <c r="AK30" s="17"/>
      <c r="AL30" s="17"/>
      <c r="AM30" s="17"/>
      <c r="AN30" s="18"/>
    </row>
    <row r="31" spans="1:40" ht="13.5" customHeight="1" x14ac:dyDescent="0.2">
      <c r="A31" s="16"/>
      <c r="B31" s="17"/>
      <c r="C31" s="17"/>
      <c r="D31" s="17"/>
      <c r="E31" s="17"/>
      <c r="F31" s="17"/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1"/>
      <c r="AI31" s="17"/>
      <c r="AJ31" s="17"/>
      <c r="AK31" s="17"/>
      <c r="AL31" s="17"/>
      <c r="AM31" s="17"/>
      <c r="AN31" s="18"/>
    </row>
    <row r="32" spans="1:40" ht="13.5" customHeight="1" x14ac:dyDescent="0.2">
      <c r="A32" s="16"/>
      <c r="B32" s="17"/>
      <c r="C32" s="17"/>
      <c r="D32" s="17"/>
      <c r="E32" s="17"/>
      <c r="F32" s="17"/>
      <c r="G32" s="59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1"/>
      <c r="AI32" s="17"/>
      <c r="AJ32" s="17"/>
      <c r="AK32" s="17"/>
      <c r="AL32" s="17"/>
      <c r="AM32" s="17"/>
      <c r="AN32" s="18"/>
    </row>
    <row r="33" spans="1:40" ht="13.5" customHeight="1" x14ac:dyDescent="0.2">
      <c r="A33" s="16"/>
      <c r="B33" s="17"/>
      <c r="C33" s="17"/>
      <c r="D33" s="17"/>
      <c r="E33" s="17"/>
      <c r="F33" s="17"/>
      <c r="G33" s="62" t="s">
        <v>51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4"/>
      <c r="AI33" s="17"/>
      <c r="AJ33" s="17"/>
      <c r="AK33" s="17"/>
      <c r="AL33" s="17"/>
      <c r="AM33" s="17"/>
      <c r="AN33" s="18"/>
    </row>
    <row r="34" spans="1:40" ht="13.5" customHeight="1" x14ac:dyDescent="0.2">
      <c r="A34" s="16"/>
      <c r="B34" s="17"/>
      <c r="C34" s="17"/>
      <c r="D34" s="17"/>
      <c r="E34" s="17"/>
      <c r="F34" s="17"/>
      <c r="G34" s="62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4"/>
      <c r="AI34" s="17"/>
      <c r="AJ34" s="17"/>
      <c r="AK34" s="17"/>
      <c r="AL34" s="17"/>
      <c r="AM34" s="17"/>
      <c r="AN34" s="18"/>
    </row>
    <row r="35" spans="1:40" ht="13.5" customHeight="1" x14ac:dyDescent="0.2">
      <c r="A35" s="16"/>
      <c r="B35" s="17"/>
      <c r="C35" s="17"/>
      <c r="D35" s="17"/>
      <c r="E35" s="17"/>
      <c r="F35" s="17"/>
      <c r="G35" s="62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4"/>
      <c r="AI35" s="17"/>
      <c r="AJ35" s="17"/>
      <c r="AK35" s="17"/>
      <c r="AL35" s="17"/>
      <c r="AM35" s="17"/>
      <c r="AN35" s="18"/>
    </row>
    <row r="36" spans="1:40" ht="13.5" customHeight="1" x14ac:dyDescent="0.2">
      <c r="A36" s="16"/>
      <c r="B36" s="17"/>
      <c r="C36" s="17"/>
      <c r="D36" s="17"/>
      <c r="E36" s="17"/>
      <c r="F36" s="17"/>
      <c r="G36" s="62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4"/>
      <c r="AI36" s="17"/>
      <c r="AJ36" s="17"/>
      <c r="AK36" s="17"/>
      <c r="AL36" s="17"/>
      <c r="AM36" s="17"/>
      <c r="AN36" s="18"/>
    </row>
    <row r="37" spans="1:40" ht="13.5" customHeight="1" x14ac:dyDescent="0.2">
      <c r="A37" s="16"/>
      <c r="B37" s="17"/>
      <c r="C37" s="17"/>
      <c r="D37" s="17"/>
      <c r="E37" s="17"/>
      <c r="F37" s="17"/>
      <c r="G37" s="62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4"/>
      <c r="AI37" s="17"/>
      <c r="AJ37" s="17"/>
      <c r="AK37" s="17"/>
      <c r="AL37" s="17"/>
      <c r="AM37" s="17"/>
      <c r="AN37" s="18"/>
    </row>
    <row r="38" spans="1:40" ht="13.5" customHeight="1" x14ac:dyDescent="0.2">
      <c r="A38" s="16"/>
      <c r="B38" s="17"/>
      <c r="C38" s="17"/>
      <c r="D38" s="17"/>
      <c r="E38" s="17"/>
      <c r="F38" s="17"/>
      <c r="G38" s="62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4"/>
      <c r="AI38" s="17"/>
      <c r="AJ38" s="17"/>
      <c r="AK38" s="17"/>
      <c r="AL38" s="17"/>
      <c r="AM38" s="17"/>
      <c r="AN38" s="18"/>
    </row>
    <row r="39" spans="1:40" ht="13.5" customHeight="1" x14ac:dyDescent="0.2">
      <c r="A39" s="16"/>
      <c r="B39" s="17"/>
      <c r="C39" s="17"/>
      <c r="D39" s="17"/>
      <c r="E39" s="17"/>
      <c r="F39" s="17"/>
      <c r="G39" s="62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4"/>
      <c r="AI39" s="17"/>
      <c r="AJ39" s="17"/>
      <c r="AK39" s="17"/>
      <c r="AL39" s="17"/>
      <c r="AM39" s="17"/>
      <c r="AN39" s="18"/>
    </row>
    <row r="40" spans="1:40" ht="13.5" customHeight="1" x14ac:dyDescent="0.2">
      <c r="A40" s="16"/>
      <c r="B40" s="17"/>
      <c r="C40" s="17"/>
      <c r="D40" s="17"/>
      <c r="E40" s="17"/>
      <c r="F40" s="17"/>
      <c r="G40" s="65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7"/>
      <c r="AI40" s="17"/>
      <c r="AJ40" s="17"/>
      <c r="AK40" s="17"/>
      <c r="AL40" s="17"/>
      <c r="AM40" s="17"/>
      <c r="AN40" s="18"/>
    </row>
    <row r="41" spans="1:40" ht="13.5" customHeight="1" x14ac:dyDescent="0.2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8"/>
    </row>
    <row r="42" spans="1:40" ht="13.5" customHeight="1" x14ac:dyDescent="0.2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8"/>
    </row>
    <row r="43" spans="1:40" ht="13.5" customHeight="1" x14ac:dyDescent="0.2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8"/>
    </row>
    <row r="44" spans="1:40" ht="13.5" customHeight="1" x14ac:dyDescent="0.2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8"/>
    </row>
    <row r="45" spans="1:40" ht="13.5" customHeight="1" x14ac:dyDescent="0.2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8"/>
    </row>
    <row r="46" spans="1:40" ht="13.5" customHeight="1" x14ac:dyDescent="0.2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8"/>
    </row>
    <row r="47" spans="1:40" ht="13.5" customHeight="1" x14ac:dyDescent="0.2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39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8"/>
    </row>
    <row r="48" spans="1:40" ht="13.5" customHeight="1" x14ac:dyDescent="0.2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8"/>
    </row>
    <row r="49" spans="1:40" ht="13.5" customHeight="1" x14ac:dyDescent="0.2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8"/>
    </row>
    <row r="50" spans="1:40" ht="13.5" customHeight="1" x14ac:dyDescent="0.2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54" t="str">
        <f>"第"&amp;(MAX(更新履歴!$G$7:$L$65))&amp;"版"</f>
        <v>第1.1版</v>
      </c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8"/>
    </row>
    <row r="51" spans="1:40" ht="13.5" customHeight="1" x14ac:dyDescent="0.2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8"/>
    </row>
    <row r="52" spans="1:40" ht="13.5" customHeight="1" x14ac:dyDescent="0.2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55">
        <f>MAX(更新履歴!$A$7:$F$65)</f>
        <v>43115</v>
      </c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8"/>
    </row>
    <row r="53" spans="1:40" ht="13.5" customHeight="1" x14ac:dyDescent="0.2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8"/>
    </row>
    <row r="54" spans="1:40" ht="13.5" customHeight="1" x14ac:dyDescent="0.2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54" t="str">
        <f>"作成"&amp;" "&amp;更新履歴!AC2</f>
        <v>作成 SHIFT 佐藤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</row>
    <row r="55" spans="1:40" ht="13.5" customHeight="1" x14ac:dyDescent="0.2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8"/>
    </row>
    <row r="56" spans="1:40" ht="13.5" customHeight="1" x14ac:dyDescent="0.2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8"/>
    </row>
    <row r="57" spans="1:40" ht="13.5" customHeight="1" x14ac:dyDescent="0.2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8"/>
    </row>
    <row r="58" spans="1:40" ht="13.5" customHeight="1" x14ac:dyDescent="0.2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8"/>
    </row>
    <row r="59" spans="1:40" ht="13.5" customHeight="1" x14ac:dyDescent="0.2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8"/>
    </row>
    <row r="60" spans="1:40" ht="13.5" customHeight="1" x14ac:dyDescent="0.2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8"/>
    </row>
    <row r="61" spans="1:40" ht="13.5" customHeight="1" x14ac:dyDescent="0.2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8"/>
    </row>
    <row r="62" spans="1:40" x14ac:dyDescent="0.2">
      <c r="A62" s="19"/>
      <c r="AN62" s="20"/>
    </row>
    <row r="63" spans="1:40" x14ac:dyDescent="0.2">
      <c r="A63" s="19"/>
      <c r="AN63" s="20"/>
    </row>
    <row r="64" spans="1:40" x14ac:dyDescent="0.2">
      <c r="A64" s="19"/>
      <c r="AN64" s="20"/>
    </row>
    <row r="65" spans="1:40" x14ac:dyDescent="0.2">
      <c r="A65" s="19"/>
      <c r="AN65" s="20"/>
    </row>
  </sheetData>
  <mergeCells count="6">
    <mergeCell ref="K5:AD7"/>
    <mergeCell ref="M50:AB51"/>
    <mergeCell ref="M52:AB53"/>
    <mergeCell ref="M54:AB55"/>
    <mergeCell ref="G17:AH32"/>
    <mergeCell ref="G33:AH40"/>
  </mergeCells>
  <phoneticPr fontId="2"/>
  <pageMargins left="0.7" right="0.7" top="0.75" bottom="0.75" header="0.3" footer="0.3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65"/>
  <sheetViews>
    <sheetView showGridLines="0" view="pageBreakPreview" zoomScale="85" zoomScaleNormal="100" zoomScaleSheetLayoutView="85" workbookViewId="0">
      <selection sqref="A1:F2"/>
    </sheetView>
  </sheetViews>
  <sheetFormatPr defaultColWidth="3" defaultRowHeight="15" x14ac:dyDescent="0.2"/>
  <cols>
    <col min="1" max="16384" width="3" style="15"/>
  </cols>
  <sheetData>
    <row r="1" spans="1:40" ht="13.5" customHeight="1" thickBot="1" x14ac:dyDescent="0.25">
      <c r="A1" s="85" t="s">
        <v>12</v>
      </c>
      <c r="B1" s="86">
        <v>0</v>
      </c>
      <c r="C1" s="86"/>
      <c r="D1" s="86"/>
      <c r="E1" s="86">
        <v>0</v>
      </c>
      <c r="F1" s="86">
        <v>0</v>
      </c>
      <c r="G1" s="89" t="s">
        <v>48</v>
      </c>
      <c r="H1" s="89">
        <v>0</v>
      </c>
      <c r="I1" s="89">
        <v>0</v>
      </c>
      <c r="J1" s="89">
        <v>0</v>
      </c>
      <c r="K1" s="89">
        <v>0</v>
      </c>
      <c r="L1" s="89">
        <v>0</v>
      </c>
      <c r="M1" s="89">
        <v>0</v>
      </c>
      <c r="N1" s="89">
        <v>0</v>
      </c>
      <c r="O1" s="89">
        <v>0</v>
      </c>
      <c r="P1" s="89">
        <v>0</v>
      </c>
      <c r="Q1" s="78" t="s">
        <v>13</v>
      </c>
      <c r="R1" s="78">
        <v>0</v>
      </c>
      <c r="S1" s="78">
        <v>0</v>
      </c>
      <c r="T1" s="78">
        <v>0</v>
      </c>
      <c r="U1" s="91" t="s">
        <v>14</v>
      </c>
      <c r="V1" s="92"/>
      <c r="W1" s="92"/>
      <c r="X1" s="92"/>
      <c r="Y1" s="78" t="s">
        <v>15</v>
      </c>
      <c r="Z1" s="78">
        <v>0</v>
      </c>
      <c r="AA1" s="78">
        <v>0</v>
      </c>
      <c r="AB1" s="78">
        <v>0</v>
      </c>
      <c r="AC1" s="79">
        <f>MIN(A7:F65)</f>
        <v>41757</v>
      </c>
      <c r="AD1" s="79"/>
      <c r="AE1" s="79"/>
      <c r="AF1" s="79"/>
      <c r="AG1" s="78" t="s">
        <v>16</v>
      </c>
      <c r="AH1" s="78">
        <v>0</v>
      </c>
      <c r="AI1" s="78">
        <v>0</v>
      </c>
      <c r="AJ1" s="78">
        <v>0</v>
      </c>
      <c r="AK1" s="79">
        <f>MAX(A7:F65)</f>
        <v>43115</v>
      </c>
      <c r="AL1" s="79"/>
      <c r="AM1" s="79"/>
      <c r="AN1" s="80"/>
    </row>
    <row r="2" spans="1:40" ht="13.5" customHeight="1" x14ac:dyDescent="0.2">
      <c r="A2" s="87">
        <v>0</v>
      </c>
      <c r="B2" s="88">
        <v>0</v>
      </c>
      <c r="C2" s="88"/>
      <c r="D2" s="88"/>
      <c r="E2" s="88">
        <v>0</v>
      </c>
      <c r="F2" s="88">
        <v>0</v>
      </c>
      <c r="G2" s="90">
        <v>0</v>
      </c>
      <c r="H2" s="90">
        <v>0</v>
      </c>
      <c r="I2" s="90">
        <v>0</v>
      </c>
      <c r="J2" s="90">
        <v>0</v>
      </c>
      <c r="K2" s="90">
        <v>0</v>
      </c>
      <c r="L2" s="90">
        <v>0</v>
      </c>
      <c r="M2" s="90">
        <v>0</v>
      </c>
      <c r="N2" s="90">
        <v>0</v>
      </c>
      <c r="O2" s="90">
        <v>0</v>
      </c>
      <c r="P2" s="90">
        <v>0</v>
      </c>
      <c r="Q2" s="75" t="s">
        <v>17</v>
      </c>
      <c r="R2" s="75">
        <v>0</v>
      </c>
      <c r="S2" s="75">
        <v>0</v>
      </c>
      <c r="T2" s="75">
        <v>0</v>
      </c>
      <c r="U2" s="81">
        <v>1</v>
      </c>
      <c r="V2" s="82"/>
      <c r="W2" s="82"/>
      <c r="X2" s="82"/>
      <c r="Y2" s="75" t="s">
        <v>18</v>
      </c>
      <c r="Z2" s="75">
        <v>0</v>
      </c>
      <c r="AA2" s="75">
        <v>0</v>
      </c>
      <c r="AB2" s="75">
        <v>0</v>
      </c>
      <c r="AC2" s="83" t="str">
        <f>VLOOKUP(AC1,A7:R50,13,FALSE)</f>
        <v>SHIFT 佐藤</v>
      </c>
      <c r="AD2" s="83"/>
      <c r="AE2" s="83"/>
      <c r="AF2" s="83"/>
      <c r="AG2" s="75" t="s">
        <v>19</v>
      </c>
      <c r="AH2" s="75">
        <v>0</v>
      </c>
      <c r="AI2" s="75">
        <v>0</v>
      </c>
      <c r="AJ2" s="75">
        <v>0</v>
      </c>
      <c r="AK2" s="83" t="str">
        <f>VLOOKUP(AK1,A7:R50,13,FALSE)</f>
        <v>SHIFT 佐藤</v>
      </c>
      <c r="AL2" s="83"/>
      <c r="AM2" s="83"/>
      <c r="AN2" s="84"/>
    </row>
    <row r="3" spans="1:40" x14ac:dyDescent="0.2">
      <c r="A3" s="68" t="s">
        <v>20</v>
      </c>
      <c r="B3" s="69">
        <v>0</v>
      </c>
      <c r="C3" s="69">
        <v>0</v>
      </c>
      <c r="D3" s="69">
        <v>0</v>
      </c>
      <c r="E3" s="69">
        <v>0</v>
      </c>
      <c r="F3" s="69">
        <v>0</v>
      </c>
      <c r="G3" s="70" t="s">
        <v>21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2"/>
    </row>
    <row r="4" spans="1:40" x14ac:dyDescent="0.2">
      <c r="A4" s="68" t="s">
        <v>22</v>
      </c>
      <c r="B4" s="69">
        <v>0</v>
      </c>
      <c r="C4" s="69">
        <v>0</v>
      </c>
      <c r="D4" s="69">
        <v>0</v>
      </c>
      <c r="E4" s="69">
        <v>0</v>
      </c>
      <c r="F4" s="69">
        <v>0</v>
      </c>
      <c r="G4" s="73" t="s">
        <v>23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5" t="s">
        <v>24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6" t="s">
        <v>23</v>
      </c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7"/>
    </row>
    <row r="5" spans="1:40" x14ac:dyDescent="0.2">
      <c r="A5" s="21"/>
      <c r="AN5" s="22"/>
    </row>
    <row r="6" spans="1:40" x14ac:dyDescent="0.2">
      <c r="A6" s="106" t="s">
        <v>25</v>
      </c>
      <c r="B6" s="107"/>
      <c r="C6" s="107"/>
      <c r="D6" s="107"/>
      <c r="E6" s="107"/>
      <c r="F6" s="107"/>
      <c r="G6" s="108" t="s">
        <v>17</v>
      </c>
      <c r="H6" s="108"/>
      <c r="I6" s="108"/>
      <c r="J6" s="108"/>
      <c r="K6" s="108"/>
      <c r="L6" s="108"/>
      <c r="M6" s="108" t="s">
        <v>19</v>
      </c>
      <c r="N6" s="108"/>
      <c r="O6" s="108"/>
      <c r="P6" s="108"/>
      <c r="Q6" s="108"/>
      <c r="R6" s="108"/>
      <c r="S6" s="109" t="s">
        <v>26</v>
      </c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10"/>
    </row>
    <row r="7" spans="1:40" x14ac:dyDescent="0.2">
      <c r="A7" s="111">
        <v>41757</v>
      </c>
      <c r="B7" s="112"/>
      <c r="C7" s="112"/>
      <c r="D7" s="112"/>
      <c r="E7" s="112"/>
      <c r="F7" s="112"/>
      <c r="G7" s="95">
        <v>1</v>
      </c>
      <c r="H7" s="96"/>
      <c r="I7" s="96"/>
      <c r="J7" s="96"/>
      <c r="K7" s="96"/>
      <c r="L7" s="96"/>
      <c r="M7" s="97" t="s">
        <v>27</v>
      </c>
      <c r="N7" s="97"/>
      <c r="O7" s="97"/>
      <c r="P7" s="97"/>
      <c r="Q7" s="97"/>
      <c r="R7" s="97"/>
      <c r="S7" s="98" t="s">
        <v>28</v>
      </c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100"/>
    </row>
    <row r="8" spans="1:40" x14ac:dyDescent="0.2">
      <c r="A8" s="93">
        <v>43115</v>
      </c>
      <c r="B8" s="94"/>
      <c r="C8" s="94"/>
      <c r="D8" s="94"/>
      <c r="E8" s="94"/>
      <c r="F8" s="94"/>
      <c r="G8" s="95">
        <v>1.1000000000000001</v>
      </c>
      <c r="H8" s="96"/>
      <c r="I8" s="96"/>
      <c r="J8" s="96"/>
      <c r="K8" s="96"/>
      <c r="L8" s="96"/>
      <c r="M8" s="97" t="s">
        <v>27</v>
      </c>
      <c r="N8" s="97"/>
      <c r="O8" s="97"/>
      <c r="P8" s="97"/>
      <c r="Q8" s="97"/>
      <c r="R8" s="97"/>
      <c r="S8" s="98" t="s">
        <v>50</v>
      </c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100"/>
    </row>
    <row r="9" spans="1:40" x14ac:dyDescent="0.2">
      <c r="A9" s="101"/>
      <c r="B9" s="102"/>
      <c r="C9" s="102"/>
      <c r="D9" s="102"/>
      <c r="E9" s="102"/>
      <c r="F9" s="102"/>
      <c r="G9" s="95"/>
      <c r="H9" s="96"/>
      <c r="I9" s="96"/>
      <c r="J9" s="96"/>
      <c r="K9" s="96"/>
      <c r="L9" s="96"/>
      <c r="M9" s="103"/>
      <c r="N9" s="103"/>
      <c r="O9" s="103"/>
      <c r="P9" s="103"/>
      <c r="Q9" s="103"/>
      <c r="R9" s="103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5"/>
    </row>
    <row r="10" spans="1:40" x14ac:dyDescent="0.2">
      <c r="A10" s="113"/>
      <c r="B10" s="114"/>
      <c r="C10" s="114"/>
      <c r="D10" s="114"/>
      <c r="E10" s="114"/>
      <c r="F10" s="114"/>
      <c r="G10" s="95"/>
      <c r="H10" s="96"/>
      <c r="I10" s="96"/>
      <c r="J10" s="96"/>
      <c r="K10" s="96"/>
      <c r="L10" s="96"/>
      <c r="M10" s="103"/>
      <c r="N10" s="103"/>
      <c r="O10" s="103"/>
      <c r="P10" s="103"/>
      <c r="Q10" s="103"/>
      <c r="R10" s="103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6"/>
    </row>
    <row r="11" spans="1:40" x14ac:dyDescent="0.2">
      <c r="A11" s="113"/>
      <c r="B11" s="114"/>
      <c r="C11" s="114"/>
      <c r="D11" s="114"/>
      <c r="E11" s="114"/>
      <c r="F11" s="114"/>
      <c r="G11" s="95"/>
      <c r="H11" s="96"/>
      <c r="I11" s="96"/>
      <c r="J11" s="96"/>
      <c r="K11" s="96"/>
      <c r="L11" s="96"/>
      <c r="M11" s="103"/>
      <c r="N11" s="103"/>
      <c r="O11" s="103"/>
      <c r="P11" s="103"/>
      <c r="Q11" s="103"/>
      <c r="R11" s="103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6"/>
    </row>
    <row r="12" spans="1:40" x14ac:dyDescent="0.2">
      <c r="A12" s="113"/>
      <c r="B12" s="114"/>
      <c r="C12" s="114"/>
      <c r="D12" s="114"/>
      <c r="E12" s="114"/>
      <c r="F12" s="114"/>
      <c r="G12" s="95"/>
      <c r="H12" s="96"/>
      <c r="I12" s="96"/>
      <c r="J12" s="96"/>
      <c r="K12" s="96"/>
      <c r="L12" s="96"/>
      <c r="M12" s="103"/>
      <c r="N12" s="103"/>
      <c r="O12" s="103"/>
      <c r="P12" s="103"/>
      <c r="Q12" s="103"/>
      <c r="R12" s="103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6"/>
    </row>
    <row r="13" spans="1:40" x14ac:dyDescent="0.2">
      <c r="A13" s="113"/>
      <c r="B13" s="114"/>
      <c r="C13" s="114"/>
      <c r="D13" s="114"/>
      <c r="E13" s="114"/>
      <c r="F13" s="114"/>
      <c r="G13" s="95"/>
      <c r="H13" s="96"/>
      <c r="I13" s="96"/>
      <c r="J13" s="96"/>
      <c r="K13" s="96"/>
      <c r="L13" s="96"/>
      <c r="M13" s="103"/>
      <c r="N13" s="103"/>
      <c r="O13" s="103"/>
      <c r="P13" s="103"/>
      <c r="Q13" s="103"/>
      <c r="R13" s="103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6"/>
    </row>
    <row r="14" spans="1:40" x14ac:dyDescent="0.2">
      <c r="A14" s="113"/>
      <c r="B14" s="114"/>
      <c r="C14" s="114"/>
      <c r="D14" s="114"/>
      <c r="E14" s="114"/>
      <c r="F14" s="114"/>
      <c r="G14" s="95"/>
      <c r="H14" s="96"/>
      <c r="I14" s="96"/>
      <c r="J14" s="96"/>
      <c r="K14" s="96"/>
      <c r="L14" s="96"/>
      <c r="M14" s="103"/>
      <c r="N14" s="103"/>
      <c r="O14" s="103"/>
      <c r="P14" s="103"/>
      <c r="Q14" s="103"/>
      <c r="R14" s="103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6"/>
    </row>
    <row r="15" spans="1:40" x14ac:dyDescent="0.2">
      <c r="A15" s="113"/>
      <c r="B15" s="114"/>
      <c r="C15" s="114"/>
      <c r="D15" s="114"/>
      <c r="E15" s="114"/>
      <c r="F15" s="114"/>
      <c r="G15" s="95"/>
      <c r="H15" s="96"/>
      <c r="I15" s="96"/>
      <c r="J15" s="96"/>
      <c r="K15" s="96"/>
      <c r="L15" s="96"/>
      <c r="M15" s="103"/>
      <c r="N15" s="103"/>
      <c r="O15" s="103"/>
      <c r="P15" s="103"/>
      <c r="Q15" s="103"/>
      <c r="R15" s="103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6"/>
    </row>
    <row r="16" spans="1:40" x14ac:dyDescent="0.2">
      <c r="A16" s="113"/>
      <c r="B16" s="114"/>
      <c r="C16" s="114"/>
      <c r="D16" s="114"/>
      <c r="E16" s="114"/>
      <c r="F16" s="114"/>
      <c r="G16" s="95"/>
      <c r="H16" s="96"/>
      <c r="I16" s="96"/>
      <c r="J16" s="96"/>
      <c r="K16" s="96"/>
      <c r="L16" s="96"/>
      <c r="M16" s="103"/>
      <c r="N16" s="103"/>
      <c r="O16" s="103"/>
      <c r="P16" s="103"/>
      <c r="Q16" s="103"/>
      <c r="R16" s="103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6"/>
    </row>
    <row r="17" spans="1:40" x14ac:dyDescent="0.2">
      <c r="A17" s="113"/>
      <c r="B17" s="114"/>
      <c r="C17" s="114"/>
      <c r="D17" s="114"/>
      <c r="E17" s="114"/>
      <c r="F17" s="114"/>
      <c r="G17" s="95"/>
      <c r="H17" s="96"/>
      <c r="I17" s="96"/>
      <c r="J17" s="96"/>
      <c r="K17" s="96"/>
      <c r="L17" s="96"/>
      <c r="M17" s="103"/>
      <c r="N17" s="103"/>
      <c r="O17" s="103"/>
      <c r="P17" s="103"/>
      <c r="Q17" s="103"/>
      <c r="R17" s="103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6"/>
    </row>
    <row r="18" spans="1:40" x14ac:dyDescent="0.2">
      <c r="A18" s="113"/>
      <c r="B18" s="114"/>
      <c r="C18" s="114"/>
      <c r="D18" s="114"/>
      <c r="E18" s="114"/>
      <c r="F18" s="114"/>
      <c r="G18" s="95"/>
      <c r="H18" s="96"/>
      <c r="I18" s="96"/>
      <c r="J18" s="96"/>
      <c r="K18" s="96"/>
      <c r="L18" s="96"/>
      <c r="M18" s="103"/>
      <c r="N18" s="103"/>
      <c r="O18" s="103"/>
      <c r="P18" s="103"/>
      <c r="Q18" s="103"/>
      <c r="R18" s="103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6"/>
    </row>
    <row r="19" spans="1:40" x14ac:dyDescent="0.2">
      <c r="A19" s="113"/>
      <c r="B19" s="114"/>
      <c r="C19" s="114"/>
      <c r="D19" s="114"/>
      <c r="E19" s="114"/>
      <c r="F19" s="114"/>
      <c r="G19" s="95"/>
      <c r="H19" s="96"/>
      <c r="I19" s="96"/>
      <c r="J19" s="96"/>
      <c r="K19" s="96"/>
      <c r="L19" s="96"/>
      <c r="M19" s="103"/>
      <c r="N19" s="103"/>
      <c r="O19" s="103"/>
      <c r="P19" s="103"/>
      <c r="Q19" s="103"/>
      <c r="R19" s="103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6"/>
    </row>
    <row r="20" spans="1:40" x14ac:dyDescent="0.2">
      <c r="A20" s="113"/>
      <c r="B20" s="114"/>
      <c r="C20" s="114"/>
      <c r="D20" s="114"/>
      <c r="E20" s="114"/>
      <c r="F20" s="114"/>
      <c r="G20" s="95"/>
      <c r="H20" s="96"/>
      <c r="I20" s="96"/>
      <c r="J20" s="96"/>
      <c r="K20" s="96"/>
      <c r="L20" s="96"/>
      <c r="M20" s="103"/>
      <c r="N20" s="103"/>
      <c r="O20" s="103"/>
      <c r="P20" s="103"/>
      <c r="Q20" s="103"/>
      <c r="R20" s="103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6"/>
    </row>
    <row r="21" spans="1:40" x14ac:dyDescent="0.2">
      <c r="A21" s="113"/>
      <c r="B21" s="114"/>
      <c r="C21" s="114"/>
      <c r="D21" s="114"/>
      <c r="E21" s="114"/>
      <c r="F21" s="114"/>
      <c r="G21" s="95"/>
      <c r="H21" s="96"/>
      <c r="I21" s="96"/>
      <c r="J21" s="96"/>
      <c r="K21" s="96"/>
      <c r="L21" s="96"/>
      <c r="M21" s="103"/>
      <c r="N21" s="103"/>
      <c r="O21" s="103"/>
      <c r="P21" s="103"/>
      <c r="Q21" s="103"/>
      <c r="R21" s="103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6"/>
    </row>
    <row r="22" spans="1:40" x14ac:dyDescent="0.2">
      <c r="A22" s="113"/>
      <c r="B22" s="114"/>
      <c r="C22" s="114"/>
      <c r="D22" s="114"/>
      <c r="E22" s="114"/>
      <c r="F22" s="114"/>
      <c r="G22" s="95"/>
      <c r="H22" s="96"/>
      <c r="I22" s="96"/>
      <c r="J22" s="96"/>
      <c r="K22" s="96"/>
      <c r="L22" s="96"/>
      <c r="M22" s="103"/>
      <c r="N22" s="103"/>
      <c r="O22" s="103"/>
      <c r="P22" s="103"/>
      <c r="Q22" s="103"/>
      <c r="R22" s="103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6"/>
    </row>
    <row r="23" spans="1:40" x14ac:dyDescent="0.2">
      <c r="A23" s="113"/>
      <c r="B23" s="114"/>
      <c r="C23" s="114"/>
      <c r="D23" s="114"/>
      <c r="E23" s="114"/>
      <c r="F23" s="114"/>
      <c r="G23" s="95"/>
      <c r="H23" s="96"/>
      <c r="I23" s="96"/>
      <c r="J23" s="96"/>
      <c r="K23" s="96"/>
      <c r="L23" s="96"/>
      <c r="M23" s="103"/>
      <c r="N23" s="103"/>
      <c r="O23" s="103"/>
      <c r="P23" s="103"/>
      <c r="Q23" s="103"/>
      <c r="R23" s="103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6"/>
    </row>
    <row r="24" spans="1:40" x14ac:dyDescent="0.2">
      <c r="A24" s="113"/>
      <c r="B24" s="114"/>
      <c r="C24" s="114"/>
      <c r="D24" s="114"/>
      <c r="E24" s="114"/>
      <c r="F24" s="114"/>
      <c r="G24" s="95"/>
      <c r="H24" s="96"/>
      <c r="I24" s="96"/>
      <c r="J24" s="96"/>
      <c r="K24" s="96"/>
      <c r="L24" s="96"/>
      <c r="M24" s="103"/>
      <c r="N24" s="103"/>
      <c r="O24" s="103"/>
      <c r="P24" s="103"/>
      <c r="Q24" s="103"/>
      <c r="R24" s="103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6"/>
    </row>
    <row r="25" spans="1:40" x14ac:dyDescent="0.2">
      <c r="A25" s="113"/>
      <c r="B25" s="114"/>
      <c r="C25" s="114"/>
      <c r="D25" s="114"/>
      <c r="E25" s="114"/>
      <c r="F25" s="114"/>
      <c r="G25" s="95"/>
      <c r="H25" s="96"/>
      <c r="I25" s="96"/>
      <c r="J25" s="96"/>
      <c r="K25" s="96"/>
      <c r="L25" s="96"/>
      <c r="M25" s="103"/>
      <c r="N25" s="103"/>
      <c r="O25" s="103"/>
      <c r="P25" s="103"/>
      <c r="Q25" s="103"/>
      <c r="R25" s="103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6"/>
    </row>
    <row r="26" spans="1:40" x14ac:dyDescent="0.2">
      <c r="A26" s="113"/>
      <c r="B26" s="114"/>
      <c r="C26" s="114"/>
      <c r="D26" s="114"/>
      <c r="E26" s="114"/>
      <c r="F26" s="114"/>
      <c r="G26" s="95"/>
      <c r="H26" s="96"/>
      <c r="I26" s="96"/>
      <c r="J26" s="96"/>
      <c r="K26" s="96"/>
      <c r="L26" s="96"/>
      <c r="M26" s="103"/>
      <c r="N26" s="103"/>
      <c r="O26" s="103"/>
      <c r="P26" s="103"/>
      <c r="Q26" s="103"/>
      <c r="R26" s="103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6"/>
    </row>
    <row r="27" spans="1:40" x14ac:dyDescent="0.2">
      <c r="A27" s="113"/>
      <c r="B27" s="114"/>
      <c r="C27" s="114"/>
      <c r="D27" s="114"/>
      <c r="E27" s="114"/>
      <c r="F27" s="114"/>
      <c r="G27" s="95"/>
      <c r="H27" s="96"/>
      <c r="I27" s="96"/>
      <c r="J27" s="96"/>
      <c r="K27" s="96"/>
      <c r="L27" s="96"/>
      <c r="M27" s="103"/>
      <c r="N27" s="103"/>
      <c r="O27" s="103"/>
      <c r="P27" s="103"/>
      <c r="Q27" s="103"/>
      <c r="R27" s="103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6"/>
    </row>
    <row r="28" spans="1:40" x14ac:dyDescent="0.2">
      <c r="A28" s="113"/>
      <c r="B28" s="114"/>
      <c r="C28" s="114"/>
      <c r="D28" s="114"/>
      <c r="E28" s="114"/>
      <c r="F28" s="114"/>
      <c r="G28" s="95"/>
      <c r="H28" s="96"/>
      <c r="I28" s="96"/>
      <c r="J28" s="96"/>
      <c r="K28" s="96"/>
      <c r="L28" s="96"/>
      <c r="M28" s="103"/>
      <c r="N28" s="103"/>
      <c r="O28" s="103"/>
      <c r="P28" s="103"/>
      <c r="Q28" s="103"/>
      <c r="R28" s="103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6"/>
    </row>
    <row r="29" spans="1:40" x14ac:dyDescent="0.2">
      <c r="A29" s="113"/>
      <c r="B29" s="114"/>
      <c r="C29" s="114"/>
      <c r="D29" s="114"/>
      <c r="E29" s="114"/>
      <c r="F29" s="114"/>
      <c r="G29" s="95"/>
      <c r="H29" s="96"/>
      <c r="I29" s="96"/>
      <c r="J29" s="96"/>
      <c r="K29" s="96"/>
      <c r="L29" s="96"/>
      <c r="M29" s="103"/>
      <c r="N29" s="103"/>
      <c r="O29" s="103"/>
      <c r="P29" s="103"/>
      <c r="Q29" s="103"/>
      <c r="R29" s="103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6"/>
    </row>
    <row r="30" spans="1:40" x14ac:dyDescent="0.2">
      <c r="A30" s="113"/>
      <c r="B30" s="114"/>
      <c r="C30" s="114"/>
      <c r="D30" s="114"/>
      <c r="E30" s="114"/>
      <c r="F30" s="114"/>
      <c r="G30" s="95"/>
      <c r="H30" s="96"/>
      <c r="I30" s="96"/>
      <c r="J30" s="96"/>
      <c r="K30" s="96"/>
      <c r="L30" s="96"/>
      <c r="M30" s="103"/>
      <c r="N30" s="103"/>
      <c r="O30" s="103"/>
      <c r="P30" s="103"/>
      <c r="Q30" s="103"/>
      <c r="R30" s="103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6"/>
    </row>
    <row r="31" spans="1:40" x14ac:dyDescent="0.2">
      <c r="A31" s="113"/>
      <c r="B31" s="114"/>
      <c r="C31" s="114"/>
      <c r="D31" s="114"/>
      <c r="E31" s="114"/>
      <c r="F31" s="114"/>
      <c r="G31" s="95"/>
      <c r="H31" s="96"/>
      <c r="I31" s="96"/>
      <c r="J31" s="96"/>
      <c r="K31" s="96"/>
      <c r="L31" s="96"/>
      <c r="M31" s="103"/>
      <c r="N31" s="103"/>
      <c r="O31" s="103"/>
      <c r="P31" s="103"/>
      <c r="Q31" s="103"/>
      <c r="R31" s="103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6"/>
    </row>
    <row r="32" spans="1:40" x14ac:dyDescent="0.2">
      <c r="A32" s="113"/>
      <c r="B32" s="114"/>
      <c r="C32" s="114"/>
      <c r="D32" s="114"/>
      <c r="E32" s="114"/>
      <c r="F32" s="114"/>
      <c r="G32" s="95"/>
      <c r="H32" s="96"/>
      <c r="I32" s="96"/>
      <c r="J32" s="96"/>
      <c r="K32" s="96"/>
      <c r="L32" s="96"/>
      <c r="M32" s="103"/>
      <c r="N32" s="103"/>
      <c r="O32" s="103"/>
      <c r="P32" s="103"/>
      <c r="Q32" s="103"/>
      <c r="R32" s="103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6"/>
    </row>
    <row r="33" spans="1:40" x14ac:dyDescent="0.2">
      <c r="A33" s="113"/>
      <c r="B33" s="114"/>
      <c r="C33" s="114"/>
      <c r="D33" s="114"/>
      <c r="E33" s="114"/>
      <c r="F33" s="114"/>
      <c r="G33" s="95"/>
      <c r="H33" s="96"/>
      <c r="I33" s="96"/>
      <c r="J33" s="96"/>
      <c r="K33" s="96"/>
      <c r="L33" s="96"/>
      <c r="M33" s="103"/>
      <c r="N33" s="103"/>
      <c r="O33" s="103"/>
      <c r="P33" s="103"/>
      <c r="Q33" s="103"/>
      <c r="R33" s="103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6"/>
    </row>
    <row r="34" spans="1:40" x14ac:dyDescent="0.2">
      <c r="A34" s="113"/>
      <c r="B34" s="114"/>
      <c r="C34" s="114"/>
      <c r="D34" s="114"/>
      <c r="E34" s="114"/>
      <c r="F34" s="114"/>
      <c r="G34" s="95"/>
      <c r="H34" s="96"/>
      <c r="I34" s="96"/>
      <c r="J34" s="96"/>
      <c r="K34" s="96"/>
      <c r="L34" s="96"/>
      <c r="M34" s="103"/>
      <c r="N34" s="103"/>
      <c r="O34" s="103"/>
      <c r="P34" s="103"/>
      <c r="Q34" s="103"/>
      <c r="R34" s="103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6"/>
    </row>
    <row r="35" spans="1:40" x14ac:dyDescent="0.2">
      <c r="A35" s="113"/>
      <c r="B35" s="114"/>
      <c r="C35" s="114"/>
      <c r="D35" s="114"/>
      <c r="E35" s="114"/>
      <c r="F35" s="114"/>
      <c r="G35" s="95"/>
      <c r="H35" s="96"/>
      <c r="I35" s="96"/>
      <c r="J35" s="96"/>
      <c r="K35" s="96"/>
      <c r="L35" s="96"/>
      <c r="M35" s="103"/>
      <c r="N35" s="103"/>
      <c r="O35" s="103"/>
      <c r="P35" s="103"/>
      <c r="Q35" s="103"/>
      <c r="R35" s="103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6"/>
    </row>
    <row r="36" spans="1:40" x14ac:dyDescent="0.2">
      <c r="A36" s="113"/>
      <c r="B36" s="114"/>
      <c r="C36" s="114"/>
      <c r="D36" s="114"/>
      <c r="E36" s="114"/>
      <c r="F36" s="114"/>
      <c r="G36" s="95"/>
      <c r="H36" s="96"/>
      <c r="I36" s="96"/>
      <c r="J36" s="96"/>
      <c r="K36" s="96"/>
      <c r="L36" s="96"/>
      <c r="M36" s="103"/>
      <c r="N36" s="103"/>
      <c r="O36" s="103"/>
      <c r="P36" s="103"/>
      <c r="Q36" s="103"/>
      <c r="R36" s="103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6"/>
    </row>
    <row r="37" spans="1:40" x14ac:dyDescent="0.2">
      <c r="A37" s="113"/>
      <c r="B37" s="114"/>
      <c r="C37" s="114"/>
      <c r="D37" s="114"/>
      <c r="E37" s="114"/>
      <c r="F37" s="114"/>
      <c r="G37" s="95"/>
      <c r="H37" s="96"/>
      <c r="I37" s="96"/>
      <c r="J37" s="96"/>
      <c r="K37" s="96"/>
      <c r="L37" s="96"/>
      <c r="M37" s="103"/>
      <c r="N37" s="103"/>
      <c r="O37" s="103"/>
      <c r="P37" s="103"/>
      <c r="Q37" s="103"/>
      <c r="R37" s="103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6"/>
    </row>
    <row r="38" spans="1:40" x14ac:dyDescent="0.2">
      <c r="A38" s="113"/>
      <c r="B38" s="114"/>
      <c r="C38" s="114"/>
      <c r="D38" s="114"/>
      <c r="E38" s="114"/>
      <c r="F38" s="114"/>
      <c r="G38" s="95"/>
      <c r="H38" s="96"/>
      <c r="I38" s="96"/>
      <c r="J38" s="96"/>
      <c r="K38" s="96"/>
      <c r="L38" s="96"/>
      <c r="M38" s="103"/>
      <c r="N38" s="103"/>
      <c r="O38" s="103"/>
      <c r="P38" s="103"/>
      <c r="Q38" s="103"/>
      <c r="R38" s="103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6"/>
    </row>
    <row r="39" spans="1:40" x14ac:dyDescent="0.2">
      <c r="A39" s="113"/>
      <c r="B39" s="114"/>
      <c r="C39" s="114"/>
      <c r="D39" s="114"/>
      <c r="E39" s="114"/>
      <c r="F39" s="114"/>
      <c r="G39" s="95"/>
      <c r="H39" s="96"/>
      <c r="I39" s="96"/>
      <c r="J39" s="96"/>
      <c r="K39" s="96"/>
      <c r="L39" s="96"/>
      <c r="M39" s="103"/>
      <c r="N39" s="103"/>
      <c r="O39" s="103"/>
      <c r="P39" s="103"/>
      <c r="Q39" s="103"/>
      <c r="R39" s="103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6"/>
    </row>
    <row r="40" spans="1:40" x14ac:dyDescent="0.2">
      <c r="A40" s="113"/>
      <c r="B40" s="114"/>
      <c r="C40" s="114"/>
      <c r="D40" s="114"/>
      <c r="E40" s="114"/>
      <c r="F40" s="114"/>
      <c r="G40" s="95"/>
      <c r="H40" s="96"/>
      <c r="I40" s="96"/>
      <c r="J40" s="96"/>
      <c r="K40" s="96"/>
      <c r="L40" s="96"/>
      <c r="M40" s="103"/>
      <c r="N40" s="103"/>
      <c r="O40" s="103"/>
      <c r="P40" s="103"/>
      <c r="Q40" s="103"/>
      <c r="R40" s="103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6"/>
    </row>
    <row r="41" spans="1:40" x14ac:dyDescent="0.2">
      <c r="A41" s="113"/>
      <c r="B41" s="114"/>
      <c r="C41" s="114"/>
      <c r="D41" s="114"/>
      <c r="E41" s="114"/>
      <c r="F41" s="114"/>
      <c r="G41" s="95"/>
      <c r="H41" s="96"/>
      <c r="I41" s="96"/>
      <c r="J41" s="96"/>
      <c r="K41" s="96"/>
      <c r="L41" s="96"/>
      <c r="M41" s="103"/>
      <c r="N41" s="103"/>
      <c r="O41" s="103"/>
      <c r="P41" s="103"/>
      <c r="Q41" s="103"/>
      <c r="R41" s="103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6"/>
    </row>
    <row r="42" spans="1:40" x14ac:dyDescent="0.2">
      <c r="A42" s="113"/>
      <c r="B42" s="114"/>
      <c r="C42" s="114"/>
      <c r="D42" s="114"/>
      <c r="E42" s="114"/>
      <c r="F42" s="114"/>
      <c r="G42" s="95"/>
      <c r="H42" s="96"/>
      <c r="I42" s="96"/>
      <c r="J42" s="96"/>
      <c r="K42" s="96"/>
      <c r="L42" s="96"/>
      <c r="M42" s="103"/>
      <c r="N42" s="103"/>
      <c r="O42" s="103"/>
      <c r="P42" s="103"/>
      <c r="Q42" s="103"/>
      <c r="R42" s="103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6"/>
    </row>
    <row r="43" spans="1:40" x14ac:dyDescent="0.2">
      <c r="A43" s="113"/>
      <c r="B43" s="114"/>
      <c r="C43" s="114"/>
      <c r="D43" s="114"/>
      <c r="E43" s="114"/>
      <c r="F43" s="114"/>
      <c r="G43" s="95"/>
      <c r="H43" s="96"/>
      <c r="I43" s="96"/>
      <c r="J43" s="96"/>
      <c r="K43" s="96"/>
      <c r="L43" s="96"/>
      <c r="M43" s="103"/>
      <c r="N43" s="103"/>
      <c r="O43" s="103"/>
      <c r="P43" s="103"/>
      <c r="Q43" s="103"/>
      <c r="R43" s="103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6"/>
    </row>
    <row r="44" spans="1:40" x14ac:dyDescent="0.2">
      <c r="A44" s="113"/>
      <c r="B44" s="114"/>
      <c r="C44" s="114"/>
      <c r="D44" s="114"/>
      <c r="E44" s="114"/>
      <c r="F44" s="114"/>
      <c r="G44" s="95"/>
      <c r="H44" s="96"/>
      <c r="I44" s="96"/>
      <c r="J44" s="96"/>
      <c r="K44" s="96"/>
      <c r="L44" s="96"/>
      <c r="M44" s="103"/>
      <c r="N44" s="103"/>
      <c r="O44" s="103"/>
      <c r="P44" s="103"/>
      <c r="Q44" s="103"/>
      <c r="R44" s="103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6"/>
    </row>
    <row r="45" spans="1:40" x14ac:dyDescent="0.2">
      <c r="A45" s="113"/>
      <c r="B45" s="114"/>
      <c r="C45" s="114"/>
      <c r="D45" s="114"/>
      <c r="E45" s="114"/>
      <c r="F45" s="114"/>
      <c r="G45" s="95"/>
      <c r="H45" s="96"/>
      <c r="I45" s="96"/>
      <c r="J45" s="96"/>
      <c r="K45" s="96"/>
      <c r="L45" s="96"/>
      <c r="M45" s="103"/>
      <c r="N45" s="103"/>
      <c r="O45" s="103"/>
      <c r="P45" s="103"/>
      <c r="Q45" s="103"/>
      <c r="R45" s="103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6"/>
    </row>
    <row r="46" spans="1:40" x14ac:dyDescent="0.2">
      <c r="A46" s="113"/>
      <c r="B46" s="114"/>
      <c r="C46" s="114"/>
      <c r="D46" s="114"/>
      <c r="E46" s="114"/>
      <c r="F46" s="114"/>
      <c r="G46" s="95"/>
      <c r="H46" s="96"/>
      <c r="I46" s="96"/>
      <c r="J46" s="96"/>
      <c r="K46" s="96"/>
      <c r="L46" s="96"/>
      <c r="M46" s="103"/>
      <c r="N46" s="103"/>
      <c r="O46" s="103"/>
      <c r="P46" s="103"/>
      <c r="Q46" s="103"/>
      <c r="R46" s="103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6"/>
    </row>
    <row r="47" spans="1:40" x14ac:dyDescent="0.2">
      <c r="A47" s="113"/>
      <c r="B47" s="114"/>
      <c r="C47" s="114"/>
      <c r="D47" s="114"/>
      <c r="E47" s="114"/>
      <c r="F47" s="114"/>
      <c r="G47" s="95"/>
      <c r="H47" s="96"/>
      <c r="I47" s="96"/>
      <c r="J47" s="96"/>
      <c r="K47" s="96"/>
      <c r="L47" s="96"/>
      <c r="M47" s="103"/>
      <c r="N47" s="103"/>
      <c r="O47" s="103"/>
      <c r="P47" s="103"/>
      <c r="Q47" s="103"/>
      <c r="R47" s="103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6"/>
    </row>
    <row r="48" spans="1:40" x14ac:dyDescent="0.2">
      <c r="A48" s="113"/>
      <c r="B48" s="114"/>
      <c r="C48" s="114"/>
      <c r="D48" s="114"/>
      <c r="E48" s="114"/>
      <c r="F48" s="114"/>
      <c r="G48" s="95"/>
      <c r="H48" s="96"/>
      <c r="I48" s="96"/>
      <c r="J48" s="96"/>
      <c r="K48" s="96"/>
      <c r="L48" s="96"/>
      <c r="M48" s="103"/>
      <c r="N48" s="103"/>
      <c r="O48" s="103"/>
      <c r="P48" s="103"/>
      <c r="Q48" s="103"/>
      <c r="R48" s="103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6"/>
    </row>
    <row r="49" spans="1:40" x14ac:dyDescent="0.2">
      <c r="A49" s="113"/>
      <c r="B49" s="114"/>
      <c r="C49" s="114"/>
      <c r="D49" s="114"/>
      <c r="E49" s="114"/>
      <c r="F49" s="114"/>
      <c r="G49" s="95"/>
      <c r="H49" s="96"/>
      <c r="I49" s="96"/>
      <c r="J49" s="96"/>
      <c r="K49" s="96"/>
      <c r="L49" s="96"/>
      <c r="M49" s="103"/>
      <c r="N49" s="103"/>
      <c r="O49" s="103"/>
      <c r="P49" s="103"/>
      <c r="Q49" s="103"/>
      <c r="R49" s="103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6"/>
    </row>
    <row r="50" spans="1:40" x14ac:dyDescent="0.2">
      <c r="A50" s="113"/>
      <c r="B50" s="114"/>
      <c r="C50" s="114"/>
      <c r="D50" s="114"/>
      <c r="E50" s="114"/>
      <c r="F50" s="114"/>
      <c r="G50" s="95"/>
      <c r="H50" s="96"/>
      <c r="I50" s="96"/>
      <c r="J50" s="96"/>
      <c r="K50" s="96"/>
      <c r="L50" s="96"/>
      <c r="M50" s="103"/>
      <c r="N50" s="103"/>
      <c r="O50" s="103"/>
      <c r="P50" s="103"/>
      <c r="Q50" s="103"/>
      <c r="R50" s="103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6"/>
    </row>
    <row r="51" spans="1:40" x14ac:dyDescent="0.2">
      <c r="A51" s="113"/>
      <c r="B51" s="114"/>
      <c r="C51" s="114"/>
      <c r="D51" s="114"/>
      <c r="E51" s="114"/>
      <c r="F51" s="114"/>
      <c r="G51" s="95"/>
      <c r="H51" s="96"/>
      <c r="I51" s="96"/>
      <c r="J51" s="96"/>
      <c r="K51" s="96"/>
      <c r="L51" s="96"/>
      <c r="M51" s="103"/>
      <c r="N51" s="103"/>
      <c r="O51" s="103"/>
      <c r="P51" s="103"/>
      <c r="Q51" s="103"/>
      <c r="R51" s="103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6"/>
    </row>
    <row r="52" spans="1:40" x14ac:dyDescent="0.2">
      <c r="A52" s="113"/>
      <c r="B52" s="114"/>
      <c r="C52" s="114"/>
      <c r="D52" s="114"/>
      <c r="E52" s="114"/>
      <c r="F52" s="114"/>
      <c r="G52" s="95"/>
      <c r="H52" s="96"/>
      <c r="I52" s="96"/>
      <c r="J52" s="96"/>
      <c r="K52" s="96"/>
      <c r="L52" s="96"/>
      <c r="M52" s="103"/>
      <c r="N52" s="103"/>
      <c r="O52" s="103"/>
      <c r="P52" s="103"/>
      <c r="Q52" s="103"/>
      <c r="R52" s="103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6"/>
    </row>
    <row r="53" spans="1:40" x14ac:dyDescent="0.2">
      <c r="A53" s="113"/>
      <c r="B53" s="114"/>
      <c r="C53" s="114"/>
      <c r="D53" s="114"/>
      <c r="E53" s="114"/>
      <c r="F53" s="114"/>
      <c r="G53" s="95"/>
      <c r="H53" s="96"/>
      <c r="I53" s="96"/>
      <c r="J53" s="96"/>
      <c r="K53" s="96"/>
      <c r="L53" s="96"/>
      <c r="M53" s="103"/>
      <c r="N53" s="103"/>
      <c r="O53" s="103"/>
      <c r="P53" s="103"/>
      <c r="Q53" s="103"/>
      <c r="R53" s="103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6"/>
    </row>
    <row r="54" spans="1:40" x14ac:dyDescent="0.2">
      <c r="A54" s="113"/>
      <c r="B54" s="114"/>
      <c r="C54" s="114"/>
      <c r="D54" s="114"/>
      <c r="E54" s="114"/>
      <c r="F54" s="114"/>
      <c r="G54" s="95"/>
      <c r="H54" s="96"/>
      <c r="I54" s="96"/>
      <c r="J54" s="96"/>
      <c r="K54" s="96"/>
      <c r="L54" s="96"/>
      <c r="M54" s="103"/>
      <c r="N54" s="103"/>
      <c r="O54" s="103"/>
      <c r="P54" s="103"/>
      <c r="Q54" s="103"/>
      <c r="R54" s="103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6"/>
    </row>
    <row r="55" spans="1:40" x14ac:dyDescent="0.2">
      <c r="A55" s="113"/>
      <c r="B55" s="114"/>
      <c r="C55" s="114"/>
      <c r="D55" s="114"/>
      <c r="E55" s="114"/>
      <c r="F55" s="114"/>
      <c r="G55" s="95"/>
      <c r="H55" s="96"/>
      <c r="I55" s="96"/>
      <c r="J55" s="96"/>
      <c r="K55" s="96"/>
      <c r="L55" s="96"/>
      <c r="M55" s="103"/>
      <c r="N55" s="103"/>
      <c r="O55" s="103"/>
      <c r="P55" s="103"/>
      <c r="Q55" s="103"/>
      <c r="R55" s="103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6"/>
    </row>
    <row r="56" spans="1:40" x14ac:dyDescent="0.2">
      <c r="A56" s="113"/>
      <c r="B56" s="114"/>
      <c r="C56" s="114"/>
      <c r="D56" s="114"/>
      <c r="E56" s="114"/>
      <c r="F56" s="114"/>
      <c r="G56" s="95"/>
      <c r="H56" s="96"/>
      <c r="I56" s="96"/>
      <c r="J56" s="96"/>
      <c r="K56" s="96"/>
      <c r="L56" s="96"/>
      <c r="M56" s="103"/>
      <c r="N56" s="103"/>
      <c r="O56" s="103"/>
      <c r="P56" s="103"/>
      <c r="Q56" s="103"/>
      <c r="R56" s="103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6"/>
    </row>
    <row r="57" spans="1:40" x14ac:dyDescent="0.2">
      <c r="A57" s="113"/>
      <c r="B57" s="114"/>
      <c r="C57" s="114"/>
      <c r="D57" s="114"/>
      <c r="E57" s="114"/>
      <c r="F57" s="114"/>
      <c r="G57" s="95"/>
      <c r="H57" s="96"/>
      <c r="I57" s="96"/>
      <c r="J57" s="96"/>
      <c r="K57" s="96"/>
      <c r="L57" s="96"/>
      <c r="M57" s="103"/>
      <c r="N57" s="103"/>
      <c r="O57" s="103"/>
      <c r="P57" s="103"/>
      <c r="Q57" s="103"/>
      <c r="R57" s="103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6"/>
    </row>
    <row r="58" spans="1:40" x14ac:dyDescent="0.2">
      <c r="A58" s="113"/>
      <c r="B58" s="114"/>
      <c r="C58" s="114"/>
      <c r="D58" s="114"/>
      <c r="E58" s="114"/>
      <c r="F58" s="114"/>
      <c r="G58" s="95"/>
      <c r="H58" s="96"/>
      <c r="I58" s="96"/>
      <c r="J58" s="96"/>
      <c r="K58" s="96"/>
      <c r="L58" s="96"/>
      <c r="M58" s="103"/>
      <c r="N58" s="103"/>
      <c r="O58" s="103"/>
      <c r="P58" s="103"/>
      <c r="Q58" s="103"/>
      <c r="R58" s="103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6"/>
    </row>
    <row r="59" spans="1:40" x14ac:dyDescent="0.2">
      <c r="A59" s="113"/>
      <c r="B59" s="114"/>
      <c r="C59" s="114"/>
      <c r="D59" s="114"/>
      <c r="E59" s="114"/>
      <c r="F59" s="114"/>
      <c r="G59" s="95"/>
      <c r="H59" s="96"/>
      <c r="I59" s="96"/>
      <c r="J59" s="96"/>
      <c r="K59" s="96"/>
      <c r="L59" s="96"/>
      <c r="M59" s="103"/>
      <c r="N59" s="103"/>
      <c r="O59" s="103"/>
      <c r="P59" s="103"/>
      <c r="Q59" s="103"/>
      <c r="R59" s="103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6"/>
    </row>
    <row r="60" spans="1:40" x14ac:dyDescent="0.2">
      <c r="A60" s="113"/>
      <c r="B60" s="114"/>
      <c r="C60" s="114"/>
      <c r="D60" s="114"/>
      <c r="E60" s="114"/>
      <c r="F60" s="114"/>
      <c r="G60" s="95"/>
      <c r="H60" s="96"/>
      <c r="I60" s="96"/>
      <c r="J60" s="96"/>
      <c r="K60" s="96"/>
      <c r="L60" s="96"/>
      <c r="M60" s="103"/>
      <c r="N60" s="103"/>
      <c r="O60" s="103"/>
      <c r="P60" s="103"/>
      <c r="Q60" s="103"/>
      <c r="R60" s="103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6"/>
    </row>
    <row r="61" spans="1:40" x14ac:dyDescent="0.2">
      <c r="A61" s="113"/>
      <c r="B61" s="114"/>
      <c r="C61" s="114"/>
      <c r="D61" s="114"/>
      <c r="E61" s="114"/>
      <c r="F61" s="114"/>
      <c r="G61" s="95"/>
      <c r="H61" s="96"/>
      <c r="I61" s="96"/>
      <c r="J61" s="96"/>
      <c r="K61" s="96"/>
      <c r="L61" s="96"/>
      <c r="M61" s="103"/>
      <c r="N61" s="103"/>
      <c r="O61" s="103"/>
      <c r="P61" s="103"/>
      <c r="Q61" s="103"/>
      <c r="R61" s="103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6"/>
    </row>
    <row r="62" spans="1:40" x14ac:dyDescent="0.2">
      <c r="A62" s="113"/>
      <c r="B62" s="114"/>
      <c r="C62" s="114"/>
      <c r="D62" s="114"/>
      <c r="E62" s="114"/>
      <c r="F62" s="114"/>
      <c r="G62" s="95"/>
      <c r="H62" s="96"/>
      <c r="I62" s="96"/>
      <c r="J62" s="96"/>
      <c r="K62" s="96"/>
      <c r="L62" s="96"/>
      <c r="M62" s="103"/>
      <c r="N62" s="103"/>
      <c r="O62" s="103"/>
      <c r="P62" s="103"/>
      <c r="Q62" s="103"/>
      <c r="R62" s="103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6"/>
    </row>
    <row r="63" spans="1:40" x14ac:dyDescent="0.2">
      <c r="A63" s="113"/>
      <c r="B63" s="114"/>
      <c r="C63" s="114"/>
      <c r="D63" s="114"/>
      <c r="E63" s="114"/>
      <c r="F63" s="114"/>
      <c r="G63" s="95"/>
      <c r="H63" s="96"/>
      <c r="I63" s="96"/>
      <c r="J63" s="96"/>
      <c r="K63" s="96"/>
      <c r="L63" s="96"/>
      <c r="M63" s="103"/>
      <c r="N63" s="103"/>
      <c r="O63" s="103"/>
      <c r="P63" s="103"/>
      <c r="Q63" s="103"/>
      <c r="R63" s="103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6"/>
    </row>
    <row r="64" spans="1:40" x14ac:dyDescent="0.2">
      <c r="A64" s="113"/>
      <c r="B64" s="114"/>
      <c r="C64" s="114"/>
      <c r="D64" s="114"/>
      <c r="E64" s="114"/>
      <c r="F64" s="114"/>
      <c r="G64" s="95"/>
      <c r="H64" s="96"/>
      <c r="I64" s="96"/>
      <c r="J64" s="96"/>
      <c r="K64" s="96"/>
      <c r="L64" s="96"/>
      <c r="M64" s="103"/>
      <c r="N64" s="103"/>
      <c r="O64" s="103"/>
      <c r="P64" s="103"/>
      <c r="Q64" s="103"/>
      <c r="R64" s="103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6"/>
    </row>
    <row r="65" spans="1:40" x14ac:dyDescent="0.2">
      <c r="A65" s="113"/>
      <c r="B65" s="114"/>
      <c r="C65" s="114"/>
      <c r="D65" s="114"/>
      <c r="E65" s="114"/>
      <c r="F65" s="114"/>
      <c r="G65" s="95"/>
      <c r="H65" s="96"/>
      <c r="I65" s="96"/>
      <c r="J65" s="96"/>
      <c r="K65" s="96"/>
      <c r="L65" s="96"/>
      <c r="M65" s="103"/>
      <c r="N65" s="103"/>
      <c r="O65" s="103"/>
      <c r="P65" s="103"/>
      <c r="Q65" s="103"/>
      <c r="R65" s="103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6"/>
    </row>
  </sheetData>
  <mergeCells count="260">
    <mergeCell ref="A64:F64"/>
    <mergeCell ref="G64:L64"/>
    <mergeCell ref="M64:R64"/>
    <mergeCell ref="S64:AN64"/>
    <mergeCell ref="A65:F65"/>
    <mergeCell ref="G65:L65"/>
    <mergeCell ref="M65:R65"/>
    <mergeCell ref="S65:AN65"/>
    <mergeCell ref="A62:F62"/>
    <mergeCell ref="G62:L62"/>
    <mergeCell ref="M62:R62"/>
    <mergeCell ref="S62:AN62"/>
    <mergeCell ref="A63:F63"/>
    <mergeCell ref="G63:L63"/>
    <mergeCell ref="M63:R63"/>
    <mergeCell ref="S63:AN63"/>
    <mergeCell ref="A61:F61"/>
    <mergeCell ref="G61:L61"/>
    <mergeCell ref="M61:R61"/>
    <mergeCell ref="S61:AN61"/>
    <mergeCell ref="A58:F58"/>
    <mergeCell ref="G58:L58"/>
    <mergeCell ref="M58:R58"/>
    <mergeCell ref="S58:AN58"/>
    <mergeCell ref="A59:F59"/>
    <mergeCell ref="G59:L59"/>
    <mergeCell ref="M59:R59"/>
    <mergeCell ref="S59:AN59"/>
    <mergeCell ref="A60:F60"/>
    <mergeCell ref="G60:L60"/>
    <mergeCell ref="M60:R60"/>
    <mergeCell ref="S60:AN60"/>
    <mergeCell ref="A56:F56"/>
    <mergeCell ref="G56:L56"/>
    <mergeCell ref="M56:R56"/>
    <mergeCell ref="S56:AN56"/>
    <mergeCell ref="A57:F57"/>
    <mergeCell ref="G57:L57"/>
    <mergeCell ref="M57:R57"/>
    <mergeCell ref="S57:AN57"/>
    <mergeCell ref="A54:F54"/>
    <mergeCell ref="G54:L54"/>
    <mergeCell ref="M54:R54"/>
    <mergeCell ref="S54:AN54"/>
    <mergeCell ref="A55:F55"/>
    <mergeCell ref="G55:L55"/>
    <mergeCell ref="M55:R55"/>
    <mergeCell ref="S55:AN55"/>
    <mergeCell ref="A52:F52"/>
    <mergeCell ref="G52:L52"/>
    <mergeCell ref="M52:R52"/>
    <mergeCell ref="S52:AN52"/>
    <mergeCell ref="A53:F53"/>
    <mergeCell ref="G53:L53"/>
    <mergeCell ref="M53:R53"/>
    <mergeCell ref="S53:AN53"/>
    <mergeCell ref="A50:F50"/>
    <mergeCell ref="G50:L50"/>
    <mergeCell ref="M50:R50"/>
    <mergeCell ref="S50:AN50"/>
    <mergeCell ref="A51:F51"/>
    <mergeCell ref="G51:L51"/>
    <mergeCell ref="M51:R51"/>
    <mergeCell ref="S51:AN51"/>
    <mergeCell ref="A48:F48"/>
    <mergeCell ref="G48:L48"/>
    <mergeCell ref="M48:R48"/>
    <mergeCell ref="S48:AN48"/>
    <mergeCell ref="A49:F49"/>
    <mergeCell ref="G49:L49"/>
    <mergeCell ref="M49:R49"/>
    <mergeCell ref="S49:AN49"/>
    <mergeCell ref="A46:F46"/>
    <mergeCell ref="G46:L46"/>
    <mergeCell ref="M46:R46"/>
    <mergeCell ref="S46:AN46"/>
    <mergeCell ref="A47:F47"/>
    <mergeCell ref="G47:L47"/>
    <mergeCell ref="M47:R47"/>
    <mergeCell ref="S47:AN47"/>
    <mergeCell ref="A44:F44"/>
    <mergeCell ref="G44:L44"/>
    <mergeCell ref="M44:R44"/>
    <mergeCell ref="S44:AN44"/>
    <mergeCell ref="A45:F45"/>
    <mergeCell ref="G45:L45"/>
    <mergeCell ref="M45:R45"/>
    <mergeCell ref="S45:AN45"/>
    <mergeCell ref="A42:F42"/>
    <mergeCell ref="G42:L42"/>
    <mergeCell ref="M42:R42"/>
    <mergeCell ref="S42:AN42"/>
    <mergeCell ref="A43:F43"/>
    <mergeCell ref="G43:L43"/>
    <mergeCell ref="M43:R43"/>
    <mergeCell ref="S43:AN43"/>
    <mergeCell ref="A40:F40"/>
    <mergeCell ref="G40:L40"/>
    <mergeCell ref="M40:R40"/>
    <mergeCell ref="S40:AN40"/>
    <mergeCell ref="A41:F41"/>
    <mergeCell ref="G41:L41"/>
    <mergeCell ref="M41:R41"/>
    <mergeCell ref="S41:AN41"/>
    <mergeCell ref="A38:F38"/>
    <mergeCell ref="G38:L38"/>
    <mergeCell ref="M38:R38"/>
    <mergeCell ref="S38:AN38"/>
    <mergeCell ref="A39:F39"/>
    <mergeCell ref="G39:L39"/>
    <mergeCell ref="M39:R39"/>
    <mergeCell ref="S39:AN39"/>
    <mergeCell ref="A36:F36"/>
    <mergeCell ref="G36:L36"/>
    <mergeCell ref="M36:R36"/>
    <mergeCell ref="S36:AN36"/>
    <mergeCell ref="A37:F37"/>
    <mergeCell ref="G37:L37"/>
    <mergeCell ref="M37:R37"/>
    <mergeCell ref="S37:AN37"/>
    <mergeCell ref="A34:F34"/>
    <mergeCell ref="G34:L34"/>
    <mergeCell ref="M34:R34"/>
    <mergeCell ref="S34:AN34"/>
    <mergeCell ref="A35:F35"/>
    <mergeCell ref="G35:L35"/>
    <mergeCell ref="M35:R35"/>
    <mergeCell ref="S35:AN35"/>
    <mergeCell ref="A32:F32"/>
    <mergeCell ref="G32:L32"/>
    <mergeCell ref="M32:R32"/>
    <mergeCell ref="S32:AN32"/>
    <mergeCell ref="A33:F33"/>
    <mergeCell ref="G33:L33"/>
    <mergeCell ref="M33:R33"/>
    <mergeCell ref="S33:AN33"/>
    <mergeCell ref="A30:F30"/>
    <mergeCell ref="G30:L30"/>
    <mergeCell ref="M30:R30"/>
    <mergeCell ref="S30:AN30"/>
    <mergeCell ref="A31:F31"/>
    <mergeCell ref="G31:L31"/>
    <mergeCell ref="M31:R31"/>
    <mergeCell ref="S31:AN31"/>
    <mergeCell ref="A28:F28"/>
    <mergeCell ref="G28:L28"/>
    <mergeCell ref="M28:R28"/>
    <mergeCell ref="S28:AN28"/>
    <mergeCell ref="A29:F29"/>
    <mergeCell ref="G29:L29"/>
    <mergeCell ref="M29:R29"/>
    <mergeCell ref="S29:AN29"/>
    <mergeCell ref="A26:F26"/>
    <mergeCell ref="G26:L26"/>
    <mergeCell ref="M26:R26"/>
    <mergeCell ref="S26:AN26"/>
    <mergeCell ref="A27:F27"/>
    <mergeCell ref="G27:L27"/>
    <mergeCell ref="M27:R27"/>
    <mergeCell ref="S27:AN27"/>
    <mergeCell ref="A24:F24"/>
    <mergeCell ref="G24:L24"/>
    <mergeCell ref="M24:R24"/>
    <mergeCell ref="S24:AN24"/>
    <mergeCell ref="A25:F25"/>
    <mergeCell ref="G25:L25"/>
    <mergeCell ref="M25:R25"/>
    <mergeCell ref="S25:AN25"/>
    <mergeCell ref="A22:F22"/>
    <mergeCell ref="G22:L22"/>
    <mergeCell ref="M22:R22"/>
    <mergeCell ref="S22:AN22"/>
    <mergeCell ref="A23:F23"/>
    <mergeCell ref="G23:L23"/>
    <mergeCell ref="M23:R23"/>
    <mergeCell ref="S23:AN23"/>
    <mergeCell ref="A20:F20"/>
    <mergeCell ref="G20:L20"/>
    <mergeCell ref="M20:R20"/>
    <mergeCell ref="S20:AN20"/>
    <mergeCell ref="A21:F21"/>
    <mergeCell ref="G21:L21"/>
    <mergeCell ref="M21:R21"/>
    <mergeCell ref="S21:AN21"/>
    <mergeCell ref="A18:F18"/>
    <mergeCell ref="G18:L18"/>
    <mergeCell ref="M18:R18"/>
    <mergeCell ref="S18:AN18"/>
    <mergeCell ref="A19:F19"/>
    <mergeCell ref="G19:L19"/>
    <mergeCell ref="M19:R19"/>
    <mergeCell ref="S19:AN19"/>
    <mergeCell ref="A16:F16"/>
    <mergeCell ref="G16:L16"/>
    <mergeCell ref="M16:R16"/>
    <mergeCell ref="S16:AN16"/>
    <mergeCell ref="A17:F17"/>
    <mergeCell ref="G17:L17"/>
    <mergeCell ref="M17:R17"/>
    <mergeCell ref="S17:AN17"/>
    <mergeCell ref="A14:F14"/>
    <mergeCell ref="G14:L14"/>
    <mergeCell ref="M14:R14"/>
    <mergeCell ref="S14:AN14"/>
    <mergeCell ref="A15:F15"/>
    <mergeCell ref="G15:L15"/>
    <mergeCell ref="M15:R15"/>
    <mergeCell ref="S15:AN15"/>
    <mergeCell ref="A12:F12"/>
    <mergeCell ref="G12:L12"/>
    <mergeCell ref="M12:R12"/>
    <mergeCell ref="S12:AN12"/>
    <mergeCell ref="A13:F13"/>
    <mergeCell ref="G13:L13"/>
    <mergeCell ref="M13:R13"/>
    <mergeCell ref="S13:AN13"/>
    <mergeCell ref="A10:F10"/>
    <mergeCell ref="G10:L10"/>
    <mergeCell ref="M10:R10"/>
    <mergeCell ref="S10:AN10"/>
    <mergeCell ref="A11:F11"/>
    <mergeCell ref="G11:L11"/>
    <mergeCell ref="M11:R11"/>
    <mergeCell ref="S11:AN11"/>
    <mergeCell ref="A8:F8"/>
    <mergeCell ref="G8:L8"/>
    <mergeCell ref="M8:R8"/>
    <mergeCell ref="S8:AN8"/>
    <mergeCell ref="A9:F9"/>
    <mergeCell ref="G9:L9"/>
    <mergeCell ref="M9:R9"/>
    <mergeCell ref="S9:AN9"/>
    <mergeCell ref="A6:F6"/>
    <mergeCell ref="G6:L6"/>
    <mergeCell ref="M6:R6"/>
    <mergeCell ref="S6:AN6"/>
    <mergeCell ref="A7:F7"/>
    <mergeCell ref="G7:L7"/>
    <mergeCell ref="M7:R7"/>
    <mergeCell ref="S7:AN7"/>
    <mergeCell ref="A3:F3"/>
    <mergeCell ref="G3:AN3"/>
    <mergeCell ref="A4:F4"/>
    <mergeCell ref="G4:T4"/>
    <mergeCell ref="U4:Z4"/>
    <mergeCell ref="AA4:AN4"/>
    <mergeCell ref="AG1:AJ1"/>
    <mergeCell ref="AK1:AN1"/>
    <mergeCell ref="Q2:T2"/>
    <mergeCell ref="U2:X2"/>
    <mergeCell ref="Y2:AB2"/>
    <mergeCell ref="AC2:AF2"/>
    <mergeCell ref="AG2:AJ2"/>
    <mergeCell ref="AK2:AN2"/>
    <mergeCell ref="A1:F2"/>
    <mergeCell ref="G1:P2"/>
    <mergeCell ref="Q1:T1"/>
    <mergeCell ref="U1:X1"/>
    <mergeCell ref="Y1:AB1"/>
    <mergeCell ref="AC1:AF1"/>
  </mergeCells>
  <phoneticPr fontId="2"/>
  <pageMargins left="0.7" right="0.7" top="0.75" bottom="0.75" header="0.3" footer="0.3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63"/>
  <sheetViews>
    <sheetView showGridLines="0" view="pageBreakPreview" zoomScale="85" zoomScaleNormal="100" zoomScaleSheetLayoutView="85" workbookViewId="0">
      <selection sqref="A1:F2"/>
    </sheetView>
  </sheetViews>
  <sheetFormatPr defaultColWidth="3" defaultRowHeight="15" x14ac:dyDescent="0.2"/>
  <cols>
    <col min="1" max="1" width="3" style="15" customWidth="1"/>
    <col min="2" max="2" width="3" style="23" customWidth="1"/>
    <col min="3" max="16384" width="3" style="15"/>
  </cols>
  <sheetData>
    <row r="1" spans="1:40" ht="13.5" customHeight="1" thickBot="1" x14ac:dyDescent="0.25">
      <c r="A1" s="85" t="s">
        <v>29</v>
      </c>
      <c r="B1" s="86">
        <v>0</v>
      </c>
      <c r="C1" s="86"/>
      <c r="D1" s="86"/>
      <c r="E1" s="86">
        <v>0</v>
      </c>
      <c r="F1" s="86">
        <v>0</v>
      </c>
      <c r="G1" s="89" t="str">
        <f>更新履歴!G1</f>
        <v>テスト設計書</v>
      </c>
      <c r="H1" s="89">
        <v>0</v>
      </c>
      <c r="I1" s="89">
        <v>0</v>
      </c>
      <c r="J1" s="89">
        <v>0</v>
      </c>
      <c r="K1" s="89">
        <v>0</v>
      </c>
      <c r="L1" s="89">
        <v>0</v>
      </c>
      <c r="M1" s="89">
        <v>0</v>
      </c>
      <c r="N1" s="89">
        <v>0</v>
      </c>
      <c r="O1" s="89">
        <v>0</v>
      </c>
      <c r="P1" s="89">
        <v>0</v>
      </c>
      <c r="Q1" s="78" t="s">
        <v>13</v>
      </c>
      <c r="R1" s="78">
        <v>0</v>
      </c>
      <c r="S1" s="78">
        <v>0</v>
      </c>
      <c r="T1" s="78">
        <v>0</v>
      </c>
      <c r="U1" s="91" t="str">
        <f>更新履歴!U1</f>
        <v>○○-0001</v>
      </c>
      <c r="V1" s="92"/>
      <c r="W1" s="92"/>
      <c r="X1" s="92"/>
      <c r="Y1" s="78" t="s">
        <v>15</v>
      </c>
      <c r="Z1" s="78">
        <v>0</v>
      </c>
      <c r="AA1" s="78">
        <v>0</v>
      </c>
      <c r="AB1" s="78">
        <v>0</v>
      </c>
      <c r="AC1" s="79">
        <f>更新履歴!AC1</f>
        <v>41757</v>
      </c>
      <c r="AD1" s="79"/>
      <c r="AE1" s="79"/>
      <c r="AF1" s="79"/>
      <c r="AG1" s="78" t="s">
        <v>16</v>
      </c>
      <c r="AH1" s="78">
        <v>0</v>
      </c>
      <c r="AI1" s="78">
        <v>0</v>
      </c>
      <c r="AJ1" s="78">
        <v>0</v>
      </c>
      <c r="AK1" s="79">
        <f>更新履歴!AK1</f>
        <v>43115</v>
      </c>
      <c r="AL1" s="79"/>
      <c r="AM1" s="79"/>
      <c r="AN1" s="80"/>
    </row>
    <row r="2" spans="1:40" ht="13.5" customHeight="1" x14ac:dyDescent="0.2">
      <c r="A2" s="87">
        <v>0</v>
      </c>
      <c r="B2" s="88">
        <v>0</v>
      </c>
      <c r="C2" s="88"/>
      <c r="D2" s="88"/>
      <c r="E2" s="88">
        <v>0</v>
      </c>
      <c r="F2" s="88">
        <v>0</v>
      </c>
      <c r="G2" s="90">
        <v>0</v>
      </c>
      <c r="H2" s="90">
        <v>0</v>
      </c>
      <c r="I2" s="90">
        <v>0</v>
      </c>
      <c r="J2" s="90">
        <v>0</v>
      </c>
      <c r="K2" s="90">
        <v>0</v>
      </c>
      <c r="L2" s="90">
        <v>0</v>
      </c>
      <c r="M2" s="90">
        <v>0</v>
      </c>
      <c r="N2" s="90">
        <v>0</v>
      </c>
      <c r="O2" s="90">
        <v>0</v>
      </c>
      <c r="P2" s="90">
        <v>0</v>
      </c>
      <c r="Q2" s="75" t="s">
        <v>17</v>
      </c>
      <c r="R2" s="75">
        <v>0</v>
      </c>
      <c r="S2" s="75">
        <v>0</v>
      </c>
      <c r="T2" s="75">
        <v>0</v>
      </c>
      <c r="U2" s="82">
        <f>更新履歴!U2</f>
        <v>1</v>
      </c>
      <c r="V2" s="82"/>
      <c r="W2" s="82"/>
      <c r="X2" s="82"/>
      <c r="Y2" s="75" t="s">
        <v>18</v>
      </c>
      <c r="Z2" s="75">
        <v>0</v>
      </c>
      <c r="AA2" s="75">
        <v>0</v>
      </c>
      <c r="AB2" s="75">
        <v>0</v>
      </c>
      <c r="AC2" s="83" t="str">
        <f>更新履歴!AC2</f>
        <v>SHIFT 佐藤</v>
      </c>
      <c r="AD2" s="83"/>
      <c r="AE2" s="83"/>
      <c r="AF2" s="83"/>
      <c r="AG2" s="75" t="s">
        <v>19</v>
      </c>
      <c r="AH2" s="75">
        <v>0</v>
      </c>
      <c r="AI2" s="75">
        <v>0</v>
      </c>
      <c r="AJ2" s="75">
        <v>0</v>
      </c>
      <c r="AK2" s="83" t="str">
        <f>更新履歴!AK2</f>
        <v>SHIFT 佐藤</v>
      </c>
      <c r="AL2" s="83"/>
      <c r="AM2" s="83"/>
      <c r="AN2" s="84"/>
    </row>
    <row r="3" spans="1:40" x14ac:dyDescent="0.2">
      <c r="A3" s="68" t="s">
        <v>20</v>
      </c>
      <c r="B3" s="69">
        <v>0</v>
      </c>
      <c r="C3" s="69">
        <v>0</v>
      </c>
      <c r="D3" s="69">
        <v>0</v>
      </c>
      <c r="E3" s="69">
        <v>0</v>
      </c>
      <c r="F3" s="69">
        <v>0</v>
      </c>
      <c r="G3" s="71" t="str">
        <f>更新履歴!G3</f>
        <v>○○○○検証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2"/>
    </row>
    <row r="4" spans="1:40" x14ac:dyDescent="0.2">
      <c r="A4" s="68" t="s">
        <v>22</v>
      </c>
      <c r="B4" s="69">
        <v>0</v>
      </c>
      <c r="C4" s="69">
        <v>0</v>
      </c>
      <c r="D4" s="69">
        <v>0</v>
      </c>
      <c r="E4" s="69">
        <v>0</v>
      </c>
      <c r="F4" s="69">
        <v>0</v>
      </c>
      <c r="G4" s="74" t="str">
        <f>更新履歴!G4</f>
        <v>○○○○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5" t="s">
        <v>24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6" t="str">
        <f>更新履歴!AA4</f>
        <v>○○○○</v>
      </c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7"/>
    </row>
    <row r="5" spans="1:40" x14ac:dyDescent="0.2">
      <c r="A5" s="21"/>
      <c r="AN5" s="22"/>
    </row>
    <row r="6" spans="1:40" x14ac:dyDescent="0.3">
      <c r="A6" s="21"/>
      <c r="B6" s="24">
        <v>1</v>
      </c>
      <c r="C6" s="25" t="s">
        <v>30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7"/>
      <c r="AN6" s="22"/>
    </row>
    <row r="7" spans="1:40" x14ac:dyDescent="0.2">
      <c r="A7" s="21"/>
      <c r="B7" s="28"/>
      <c r="AM7" s="20"/>
      <c r="AN7" s="22"/>
    </row>
    <row r="8" spans="1:40" x14ac:dyDescent="0.2">
      <c r="A8" s="21"/>
      <c r="B8" s="28"/>
      <c r="C8" s="29" t="s">
        <v>10</v>
      </c>
      <c r="D8" s="123" t="s">
        <v>31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 t="s">
        <v>32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20"/>
      <c r="AN8" s="22"/>
    </row>
    <row r="9" spans="1:40" x14ac:dyDescent="0.2">
      <c r="A9" s="21"/>
      <c r="B9" s="28"/>
      <c r="C9" s="30">
        <v>1</v>
      </c>
      <c r="D9" s="82" t="s">
        <v>33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 t="s">
        <v>34</v>
      </c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20"/>
      <c r="AN9" s="22"/>
    </row>
    <row r="10" spans="1:40" x14ac:dyDescent="0.2">
      <c r="A10" s="21"/>
      <c r="B10" s="28"/>
      <c r="AM10" s="20"/>
      <c r="AN10" s="22"/>
    </row>
    <row r="11" spans="1:40" x14ac:dyDescent="0.2">
      <c r="A11" s="21"/>
      <c r="B11" s="28"/>
      <c r="AM11" s="20"/>
      <c r="AN11" s="22"/>
    </row>
    <row r="12" spans="1:40" x14ac:dyDescent="0.2">
      <c r="A12" s="21"/>
      <c r="B12" s="28"/>
      <c r="AM12" s="20"/>
      <c r="AN12" s="22"/>
    </row>
    <row r="13" spans="1:40" x14ac:dyDescent="0.2">
      <c r="A13" s="31"/>
      <c r="B13" s="32">
        <v>2</v>
      </c>
      <c r="C13" s="33" t="s">
        <v>35</v>
      </c>
      <c r="D13" s="33"/>
      <c r="E13" s="33"/>
      <c r="AM13" s="20"/>
      <c r="AN13" s="22"/>
    </row>
    <row r="14" spans="1:40" x14ac:dyDescent="0.2">
      <c r="A14" s="31"/>
      <c r="B14" s="32"/>
      <c r="C14" s="33"/>
      <c r="D14" s="33"/>
      <c r="E14" s="33"/>
      <c r="AM14" s="20"/>
      <c r="AN14" s="22"/>
    </row>
    <row r="15" spans="1:40" x14ac:dyDescent="0.2">
      <c r="A15" s="31"/>
      <c r="B15" s="32"/>
      <c r="C15" s="33" t="s">
        <v>36</v>
      </c>
      <c r="D15" s="33"/>
      <c r="E15" s="33"/>
      <c r="W15" s="15" t="s">
        <v>37</v>
      </c>
      <c r="AM15" s="20"/>
      <c r="AN15" s="22"/>
    </row>
    <row r="16" spans="1:40" x14ac:dyDescent="0.2">
      <c r="A16" s="21"/>
      <c r="B16" s="28"/>
      <c r="C16" s="123" t="s">
        <v>38</v>
      </c>
      <c r="D16" s="123"/>
      <c r="E16" s="123"/>
      <c r="F16" s="123"/>
      <c r="G16" s="123"/>
      <c r="H16" s="123" t="s">
        <v>39</v>
      </c>
      <c r="I16" s="123"/>
      <c r="J16" s="123"/>
      <c r="K16" s="123"/>
      <c r="L16" s="123"/>
      <c r="M16" s="123"/>
      <c r="N16" s="123"/>
      <c r="O16" s="123"/>
      <c r="P16" s="123"/>
      <c r="Q16" s="123"/>
      <c r="W16" s="123" t="s">
        <v>38</v>
      </c>
      <c r="X16" s="123"/>
      <c r="Y16" s="123"/>
      <c r="Z16" s="123"/>
      <c r="AA16" s="123"/>
      <c r="AB16" s="123" t="s">
        <v>39</v>
      </c>
      <c r="AC16" s="123"/>
      <c r="AD16" s="123"/>
      <c r="AE16" s="123"/>
      <c r="AF16" s="123"/>
      <c r="AG16" s="123"/>
      <c r="AH16" s="123"/>
      <c r="AI16" s="123"/>
      <c r="AJ16" s="123"/>
      <c r="AK16" s="123"/>
      <c r="AM16" s="20"/>
      <c r="AN16" s="22"/>
    </row>
    <row r="17" spans="1:40" x14ac:dyDescent="0.2">
      <c r="A17" s="21"/>
      <c r="B17" s="28"/>
      <c r="C17" s="120" t="s">
        <v>40</v>
      </c>
      <c r="D17" s="120"/>
      <c r="E17" s="120"/>
      <c r="F17" s="120"/>
      <c r="G17" s="120"/>
      <c r="H17" s="125">
        <f>COUNTA(確認項目一覧!$B:$B)-2</f>
        <v>43</v>
      </c>
      <c r="I17" s="125"/>
      <c r="J17" s="125"/>
      <c r="K17" s="125"/>
      <c r="L17" s="125"/>
      <c r="M17" s="125"/>
      <c r="N17" s="125"/>
      <c r="O17" s="125"/>
      <c r="P17" s="125"/>
      <c r="Q17" s="125"/>
      <c r="W17" s="120" t="s">
        <v>40</v>
      </c>
      <c r="X17" s="120"/>
      <c r="Y17" s="120"/>
      <c r="Z17" s="120"/>
      <c r="AA17" s="120"/>
      <c r="AB17" s="125">
        <f>COUNTA(確認項目一覧!$B:$B)-2</f>
        <v>43</v>
      </c>
      <c r="AC17" s="125"/>
      <c r="AD17" s="125"/>
      <c r="AE17" s="125"/>
      <c r="AF17" s="125"/>
      <c r="AG17" s="125"/>
      <c r="AH17" s="125"/>
      <c r="AI17" s="125"/>
      <c r="AJ17" s="125"/>
      <c r="AK17" s="125"/>
      <c r="AM17" s="20"/>
      <c r="AN17" s="22"/>
    </row>
    <row r="18" spans="1:40" x14ac:dyDescent="0.2">
      <c r="A18" s="21"/>
      <c r="B18" s="28"/>
      <c r="C18" s="120" t="s">
        <v>41</v>
      </c>
      <c r="D18" s="121"/>
      <c r="E18" s="121"/>
      <c r="F18" s="121"/>
      <c r="G18" s="122"/>
      <c r="H18" s="117">
        <v>0</v>
      </c>
      <c r="I18" s="118"/>
      <c r="J18" s="118"/>
      <c r="K18" s="118"/>
      <c r="L18" s="118"/>
      <c r="M18" s="118"/>
      <c r="N18" s="118"/>
      <c r="O18" s="118"/>
      <c r="P18" s="118"/>
      <c r="Q18" s="119"/>
      <c r="W18" s="120" t="s">
        <v>41</v>
      </c>
      <c r="X18" s="121"/>
      <c r="Y18" s="121"/>
      <c r="Z18" s="121"/>
      <c r="AA18" s="122"/>
      <c r="AB18" s="117">
        <v>0</v>
      </c>
      <c r="AC18" s="118"/>
      <c r="AD18" s="118"/>
      <c r="AE18" s="118"/>
      <c r="AF18" s="118"/>
      <c r="AG18" s="118"/>
      <c r="AH18" s="118"/>
      <c r="AI18" s="118"/>
      <c r="AJ18" s="118"/>
      <c r="AK18" s="119"/>
      <c r="AM18" s="20"/>
      <c r="AN18" s="22"/>
    </row>
    <row r="19" spans="1:40" x14ac:dyDescent="0.2">
      <c r="A19" s="21"/>
      <c r="B19" s="28"/>
      <c r="C19" s="120" t="s">
        <v>42</v>
      </c>
      <c r="D19" s="121"/>
      <c r="E19" s="121"/>
      <c r="F19" s="121"/>
      <c r="G19" s="122"/>
      <c r="H19" s="117">
        <f>COUNTIF(確認項目一覧!$H:$H,"-")+H18</f>
        <v>43</v>
      </c>
      <c r="I19" s="118"/>
      <c r="J19" s="118"/>
      <c r="K19" s="118"/>
      <c r="L19" s="118"/>
      <c r="M19" s="118"/>
      <c r="N19" s="118"/>
      <c r="O19" s="118"/>
      <c r="P19" s="118"/>
      <c r="Q19" s="119"/>
      <c r="W19" s="120" t="s">
        <v>42</v>
      </c>
      <c r="X19" s="121"/>
      <c r="Y19" s="121"/>
      <c r="Z19" s="121"/>
      <c r="AA19" s="122"/>
      <c r="AB19" s="117">
        <f>COUNTIF(確認項目一覧!$H:$H,"-")+AB18</f>
        <v>43</v>
      </c>
      <c r="AC19" s="118"/>
      <c r="AD19" s="118"/>
      <c r="AE19" s="118"/>
      <c r="AF19" s="118"/>
      <c r="AG19" s="118"/>
      <c r="AH19" s="118"/>
      <c r="AI19" s="118"/>
      <c r="AJ19" s="118"/>
      <c r="AK19" s="119"/>
      <c r="AM19" s="20"/>
      <c r="AN19" s="22"/>
    </row>
    <row r="20" spans="1:40" x14ac:dyDescent="0.2">
      <c r="A20" s="21"/>
      <c r="B20" s="28"/>
      <c r="AM20" s="20"/>
      <c r="AN20" s="22"/>
    </row>
    <row r="21" spans="1:40" x14ac:dyDescent="0.2">
      <c r="A21" s="21"/>
      <c r="B21" s="28"/>
      <c r="C21" s="124" t="s">
        <v>43</v>
      </c>
      <c r="D21" s="124"/>
      <c r="E21" s="124"/>
      <c r="F21" s="124"/>
      <c r="G21" s="124"/>
      <c r="H21" s="125">
        <f>H19</f>
        <v>43</v>
      </c>
      <c r="I21" s="125"/>
      <c r="J21" s="125"/>
      <c r="K21" s="125"/>
      <c r="L21" s="125"/>
      <c r="M21" s="125"/>
      <c r="N21" s="125"/>
      <c r="O21" s="125"/>
      <c r="P21" s="125"/>
      <c r="Q21" s="125"/>
      <c r="W21" s="124" t="s">
        <v>44</v>
      </c>
      <c r="X21" s="124"/>
      <c r="Y21" s="124"/>
      <c r="Z21" s="124"/>
      <c r="AA21" s="124"/>
      <c r="AB21" s="125">
        <f>AB19</f>
        <v>43</v>
      </c>
      <c r="AC21" s="125"/>
      <c r="AD21" s="125"/>
      <c r="AE21" s="125"/>
      <c r="AF21" s="125"/>
      <c r="AG21" s="125"/>
      <c r="AH21" s="125"/>
      <c r="AI21" s="125"/>
      <c r="AJ21" s="125"/>
      <c r="AK21" s="125"/>
      <c r="AM21" s="20"/>
      <c r="AN21" s="22"/>
    </row>
    <row r="22" spans="1:40" x14ac:dyDescent="0.2">
      <c r="A22" s="21"/>
      <c r="B22" s="28"/>
      <c r="AM22" s="20"/>
      <c r="AN22" s="22"/>
    </row>
    <row r="23" spans="1:40" x14ac:dyDescent="0.2">
      <c r="A23" s="21"/>
      <c r="B23" s="28"/>
      <c r="AM23" s="20"/>
      <c r="AN23" s="22"/>
    </row>
    <row r="24" spans="1:40" x14ac:dyDescent="0.2">
      <c r="A24" s="21"/>
      <c r="B24" s="28"/>
      <c r="I24" s="34"/>
      <c r="AM24" s="20"/>
      <c r="AN24" s="22"/>
    </row>
    <row r="25" spans="1:40" x14ac:dyDescent="0.2">
      <c r="A25" s="21"/>
      <c r="B25" s="28"/>
      <c r="AM25" s="20"/>
      <c r="AN25" s="22"/>
    </row>
    <row r="26" spans="1:40" ht="14.25" customHeight="1" x14ac:dyDescent="0.2">
      <c r="A26" s="21"/>
      <c r="B26" s="28"/>
      <c r="AM26" s="20"/>
      <c r="AN26" s="22"/>
    </row>
    <row r="27" spans="1:40" ht="13.5" customHeight="1" x14ac:dyDescent="0.2">
      <c r="A27" s="21"/>
      <c r="B27" s="28"/>
      <c r="AM27" s="20"/>
      <c r="AN27" s="22"/>
    </row>
    <row r="28" spans="1:40" x14ac:dyDescent="0.2">
      <c r="A28" s="21"/>
      <c r="B28" s="28"/>
      <c r="AM28" s="20"/>
      <c r="AN28" s="22"/>
    </row>
    <row r="29" spans="1:40" x14ac:dyDescent="0.2">
      <c r="A29" s="21"/>
      <c r="B29" s="28"/>
      <c r="AM29" s="20"/>
      <c r="AN29" s="22"/>
    </row>
    <row r="30" spans="1:40" x14ac:dyDescent="0.2">
      <c r="A30" s="21"/>
      <c r="B30" s="28"/>
      <c r="AM30" s="20"/>
      <c r="AN30" s="22"/>
    </row>
    <row r="31" spans="1:40" x14ac:dyDescent="0.2">
      <c r="A31" s="21"/>
      <c r="B31" s="28"/>
      <c r="AM31" s="20"/>
      <c r="AN31" s="22"/>
    </row>
    <row r="32" spans="1:40" x14ac:dyDescent="0.2">
      <c r="A32" s="21"/>
      <c r="B32" s="28"/>
      <c r="AM32" s="20"/>
      <c r="AN32" s="22"/>
    </row>
    <row r="33" spans="1:40" x14ac:dyDescent="0.2">
      <c r="A33" s="21"/>
      <c r="B33" s="28"/>
      <c r="AM33" s="20"/>
      <c r="AN33" s="22"/>
    </row>
    <row r="34" spans="1:40" x14ac:dyDescent="0.2">
      <c r="A34" s="21"/>
      <c r="B34" s="28"/>
      <c r="AM34" s="20"/>
      <c r="AN34" s="22"/>
    </row>
    <row r="35" spans="1:40" x14ac:dyDescent="0.2">
      <c r="A35" s="21"/>
      <c r="B35" s="28"/>
      <c r="AM35" s="20"/>
      <c r="AN35" s="22"/>
    </row>
    <row r="36" spans="1:40" x14ac:dyDescent="0.2">
      <c r="A36" s="21"/>
      <c r="B36" s="28"/>
      <c r="AM36" s="20"/>
      <c r="AN36" s="22"/>
    </row>
    <row r="37" spans="1:40" x14ac:dyDescent="0.2">
      <c r="A37" s="21"/>
      <c r="B37" s="28"/>
      <c r="AM37" s="20"/>
      <c r="AN37" s="22"/>
    </row>
    <row r="38" spans="1:40" x14ac:dyDescent="0.2">
      <c r="A38" s="21"/>
      <c r="B38" s="28"/>
      <c r="AM38" s="20"/>
      <c r="AN38" s="22"/>
    </row>
    <row r="39" spans="1:40" x14ac:dyDescent="0.2">
      <c r="A39" s="21"/>
      <c r="B39" s="28"/>
      <c r="AM39" s="20"/>
      <c r="AN39" s="22"/>
    </row>
    <row r="40" spans="1:40" x14ac:dyDescent="0.2">
      <c r="A40" s="21"/>
      <c r="B40" s="28"/>
      <c r="AM40" s="20"/>
      <c r="AN40" s="22"/>
    </row>
    <row r="41" spans="1:40" x14ac:dyDescent="0.2">
      <c r="A41" s="21"/>
      <c r="B41" s="28"/>
      <c r="AM41" s="20"/>
      <c r="AN41" s="22"/>
    </row>
    <row r="42" spans="1:40" x14ac:dyDescent="0.2">
      <c r="A42" s="21"/>
      <c r="B42" s="28"/>
      <c r="AM42" s="20"/>
      <c r="AN42" s="22"/>
    </row>
    <row r="43" spans="1:40" x14ac:dyDescent="0.2">
      <c r="A43" s="21"/>
      <c r="B43" s="28"/>
      <c r="AM43" s="20"/>
      <c r="AN43" s="22"/>
    </row>
    <row r="44" spans="1:40" x14ac:dyDescent="0.2">
      <c r="A44" s="21"/>
      <c r="B44" s="28"/>
      <c r="AM44" s="20"/>
      <c r="AN44" s="22"/>
    </row>
    <row r="45" spans="1:40" x14ac:dyDescent="0.2">
      <c r="A45" s="21"/>
      <c r="B45" s="28"/>
      <c r="AM45" s="20"/>
      <c r="AN45" s="22"/>
    </row>
    <row r="46" spans="1:40" x14ac:dyDescent="0.2">
      <c r="A46" s="21"/>
      <c r="B46" s="28"/>
      <c r="AM46" s="20"/>
      <c r="AN46" s="22"/>
    </row>
    <row r="47" spans="1:40" x14ac:dyDescent="0.2">
      <c r="A47" s="21"/>
      <c r="B47" s="28"/>
      <c r="AM47" s="20"/>
      <c r="AN47" s="22"/>
    </row>
    <row r="48" spans="1:40" x14ac:dyDescent="0.2">
      <c r="A48" s="21"/>
      <c r="B48" s="28"/>
      <c r="AM48" s="20"/>
      <c r="AN48" s="22"/>
    </row>
    <row r="49" spans="1:40" x14ac:dyDescent="0.2">
      <c r="A49" s="21"/>
      <c r="B49" s="36"/>
      <c r="AM49" s="22"/>
      <c r="AN49" s="22"/>
    </row>
    <row r="50" spans="1:40" x14ac:dyDescent="0.2">
      <c r="B50" s="36"/>
      <c r="AM50" s="22"/>
    </row>
    <row r="51" spans="1:40" x14ac:dyDescent="0.2">
      <c r="B51" s="36"/>
      <c r="AM51" s="22"/>
    </row>
    <row r="52" spans="1:40" x14ac:dyDescent="0.2">
      <c r="B52" s="36"/>
      <c r="AM52" s="22"/>
    </row>
    <row r="53" spans="1:40" x14ac:dyDescent="0.2">
      <c r="B53" s="36"/>
      <c r="AM53" s="22"/>
    </row>
    <row r="54" spans="1:40" x14ac:dyDescent="0.2">
      <c r="B54" s="36"/>
      <c r="AM54" s="22"/>
    </row>
    <row r="55" spans="1:40" x14ac:dyDescent="0.2">
      <c r="B55" s="36"/>
      <c r="AM55" s="22"/>
    </row>
    <row r="56" spans="1:40" x14ac:dyDescent="0.2">
      <c r="B56" s="36"/>
      <c r="AM56" s="22"/>
    </row>
    <row r="57" spans="1:40" x14ac:dyDescent="0.2">
      <c r="B57" s="36"/>
      <c r="AM57" s="22"/>
    </row>
    <row r="58" spans="1:40" x14ac:dyDescent="0.2">
      <c r="B58" s="36"/>
      <c r="AM58" s="22"/>
    </row>
    <row r="59" spans="1:40" x14ac:dyDescent="0.2">
      <c r="B59" s="36"/>
      <c r="AM59" s="22"/>
    </row>
    <row r="60" spans="1:40" x14ac:dyDescent="0.2">
      <c r="B60" s="36"/>
      <c r="AM60" s="22"/>
    </row>
    <row r="61" spans="1:40" x14ac:dyDescent="0.2">
      <c r="B61" s="36"/>
      <c r="AM61" s="22"/>
    </row>
    <row r="62" spans="1:40" x14ac:dyDescent="0.2">
      <c r="B62" s="36"/>
      <c r="AM62" s="22"/>
    </row>
    <row r="63" spans="1:40" x14ac:dyDescent="0.2">
      <c r="B63" s="37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8"/>
    </row>
  </sheetData>
  <mergeCells count="44">
    <mergeCell ref="C21:G21"/>
    <mergeCell ref="H21:Q21"/>
    <mergeCell ref="W21:AA21"/>
    <mergeCell ref="AB21:AK21"/>
    <mergeCell ref="C16:G16"/>
    <mergeCell ref="H16:Q16"/>
    <mergeCell ref="W16:AA16"/>
    <mergeCell ref="AB16:AK16"/>
    <mergeCell ref="C17:G17"/>
    <mergeCell ref="H17:Q17"/>
    <mergeCell ref="W17:AA17"/>
    <mergeCell ref="AB17:AK17"/>
    <mergeCell ref="AB18:AK18"/>
    <mergeCell ref="W18:AA18"/>
    <mergeCell ref="H18:Q18"/>
    <mergeCell ref="C18:G18"/>
    <mergeCell ref="AK2:AN2"/>
    <mergeCell ref="AC1:AF1"/>
    <mergeCell ref="D8:O8"/>
    <mergeCell ref="P8:AL8"/>
    <mergeCell ref="D9:O9"/>
    <mergeCell ref="P9:AL9"/>
    <mergeCell ref="A3:F3"/>
    <mergeCell ref="G3:AN3"/>
    <mergeCell ref="A4:F4"/>
    <mergeCell ref="G4:T4"/>
    <mergeCell ref="U4:Z4"/>
    <mergeCell ref="AA4:AN4"/>
    <mergeCell ref="AB19:AK19"/>
    <mergeCell ref="W19:AA19"/>
    <mergeCell ref="H19:Q19"/>
    <mergeCell ref="C19:G19"/>
    <mergeCell ref="A1:F2"/>
    <mergeCell ref="G1:P2"/>
    <mergeCell ref="Q1:T1"/>
    <mergeCell ref="U1:X1"/>
    <mergeCell ref="Y1:AB1"/>
    <mergeCell ref="AG1:AJ1"/>
    <mergeCell ref="AK1:AN1"/>
    <mergeCell ref="Q2:T2"/>
    <mergeCell ref="U2:X2"/>
    <mergeCell ref="Y2:AB2"/>
    <mergeCell ref="AC2:AF2"/>
    <mergeCell ref="AG2:AJ2"/>
  </mergeCells>
  <phoneticPr fontId="2"/>
  <pageMargins left="0.7" right="0.7" top="0.75" bottom="0.75" header="0.3" footer="0.3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O48"/>
  <sheetViews>
    <sheetView showGridLines="0" tabSelected="1" zoomScale="85" zoomScaleNormal="85" workbookViewId="0">
      <pane xSplit="6" ySplit="4" topLeftCell="H5" activePane="bottomRight" state="frozen"/>
      <selection pane="topRight" activeCell="G1" sqref="G1"/>
      <selection pane="bottomLeft" activeCell="A5" sqref="A5"/>
      <selection pane="bottomRight"/>
    </sheetView>
  </sheetViews>
  <sheetFormatPr defaultColWidth="8.6640625" defaultRowHeight="12.6" x14ac:dyDescent="0.2"/>
  <cols>
    <col min="1" max="1" width="1.6640625" style="1" customWidth="1"/>
    <col min="2" max="2" width="4" style="4" customWidth="1"/>
    <col min="3" max="3" width="18.44140625" style="1" customWidth="1"/>
    <col min="4" max="4" width="19.33203125" style="1" customWidth="1"/>
    <col min="5" max="5" width="20.33203125" style="1" customWidth="1"/>
    <col min="6" max="6" width="21.88671875" style="1" customWidth="1"/>
    <col min="7" max="7" width="36.5546875" style="1" customWidth="1"/>
    <col min="8" max="8" width="8" style="3" customWidth="1"/>
    <col min="9" max="9" width="19.88671875" style="3" customWidth="1"/>
    <col min="10" max="10" width="23.6640625" style="3" customWidth="1"/>
    <col min="11" max="11" width="37.5546875" style="1" customWidth="1"/>
    <col min="12" max="12" width="5.5546875" style="1" customWidth="1"/>
    <col min="13" max="13" width="7.109375" style="1" customWidth="1"/>
    <col min="14" max="14" width="7.33203125" style="1" customWidth="1"/>
    <col min="15" max="15" width="54.109375" style="1" customWidth="1"/>
    <col min="16" max="16" width="31.6640625" style="1" customWidth="1"/>
    <col min="17" max="256" width="8.6640625" style="1"/>
    <col min="257" max="257" width="0.88671875" style="1" customWidth="1"/>
    <col min="258" max="258" width="4" style="1" customWidth="1"/>
    <col min="259" max="259" width="18.44140625" style="1" customWidth="1"/>
    <col min="260" max="260" width="19.33203125" style="1" customWidth="1"/>
    <col min="261" max="261" width="25" style="1" bestFit="1" customWidth="1"/>
    <col min="262" max="262" width="25.6640625" style="1" bestFit="1" customWidth="1"/>
    <col min="263" max="263" width="15.109375" style="1" customWidth="1"/>
    <col min="264" max="264" width="8.77734375" style="1" customWidth="1"/>
    <col min="265" max="265" width="15.21875" style="1" customWidth="1"/>
    <col min="266" max="266" width="36.88671875" style="1" customWidth="1"/>
    <col min="267" max="267" width="40.6640625" style="1" customWidth="1"/>
    <col min="268" max="268" width="13.44140625" style="1" customWidth="1"/>
    <col min="269" max="269" width="3.6640625" style="1" customWidth="1"/>
    <col min="270" max="512" width="8.6640625" style="1"/>
    <col min="513" max="513" width="0.88671875" style="1" customWidth="1"/>
    <col min="514" max="514" width="4" style="1" customWidth="1"/>
    <col min="515" max="515" width="18.44140625" style="1" customWidth="1"/>
    <col min="516" max="516" width="19.33203125" style="1" customWidth="1"/>
    <col min="517" max="517" width="25" style="1" bestFit="1" customWidth="1"/>
    <col min="518" max="518" width="25.6640625" style="1" bestFit="1" customWidth="1"/>
    <col min="519" max="519" width="15.109375" style="1" customWidth="1"/>
    <col min="520" max="520" width="8.77734375" style="1" customWidth="1"/>
    <col min="521" max="521" width="15.21875" style="1" customWidth="1"/>
    <col min="522" max="522" width="36.88671875" style="1" customWidth="1"/>
    <col min="523" max="523" width="40.6640625" style="1" customWidth="1"/>
    <col min="524" max="524" width="13.44140625" style="1" customWidth="1"/>
    <col min="525" max="525" width="3.6640625" style="1" customWidth="1"/>
    <col min="526" max="768" width="8.6640625" style="1"/>
    <col min="769" max="769" width="0.88671875" style="1" customWidth="1"/>
    <col min="770" max="770" width="4" style="1" customWidth="1"/>
    <col min="771" max="771" width="18.44140625" style="1" customWidth="1"/>
    <col min="772" max="772" width="19.33203125" style="1" customWidth="1"/>
    <col min="773" max="773" width="25" style="1" bestFit="1" customWidth="1"/>
    <col min="774" max="774" width="25.6640625" style="1" bestFit="1" customWidth="1"/>
    <col min="775" max="775" width="15.109375" style="1" customWidth="1"/>
    <col min="776" max="776" width="8.77734375" style="1" customWidth="1"/>
    <col min="777" max="777" width="15.21875" style="1" customWidth="1"/>
    <col min="778" max="778" width="36.88671875" style="1" customWidth="1"/>
    <col min="779" max="779" width="40.6640625" style="1" customWidth="1"/>
    <col min="780" max="780" width="13.44140625" style="1" customWidth="1"/>
    <col min="781" max="781" width="3.6640625" style="1" customWidth="1"/>
    <col min="782" max="1024" width="8.6640625" style="1"/>
    <col min="1025" max="1025" width="0.88671875" style="1" customWidth="1"/>
    <col min="1026" max="1026" width="4" style="1" customWidth="1"/>
    <col min="1027" max="1027" width="18.44140625" style="1" customWidth="1"/>
    <col min="1028" max="1028" width="19.33203125" style="1" customWidth="1"/>
    <col min="1029" max="1029" width="25" style="1" bestFit="1" customWidth="1"/>
    <col min="1030" max="1030" width="25.6640625" style="1" bestFit="1" customWidth="1"/>
    <col min="1031" max="1031" width="15.109375" style="1" customWidth="1"/>
    <col min="1032" max="1032" width="8.77734375" style="1" customWidth="1"/>
    <col min="1033" max="1033" width="15.21875" style="1" customWidth="1"/>
    <col min="1034" max="1034" width="36.88671875" style="1" customWidth="1"/>
    <col min="1035" max="1035" width="40.6640625" style="1" customWidth="1"/>
    <col min="1036" max="1036" width="13.44140625" style="1" customWidth="1"/>
    <col min="1037" max="1037" width="3.6640625" style="1" customWidth="1"/>
    <col min="1038" max="1280" width="8.6640625" style="1"/>
    <col min="1281" max="1281" width="0.88671875" style="1" customWidth="1"/>
    <col min="1282" max="1282" width="4" style="1" customWidth="1"/>
    <col min="1283" max="1283" width="18.44140625" style="1" customWidth="1"/>
    <col min="1284" max="1284" width="19.33203125" style="1" customWidth="1"/>
    <col min="1285" max="1285" width="25" style="1" bestFit="1" customWidth="1"/>
    <col min="1286" max="1286" width="25.6640625" style="1" bestFit="1" customWidth="1"/>
    <col min="1287" max="1287" width="15.109375" style="1" customWidth="1"/>
    <col min="1288" max="1288" width="8.77734375" style="1" customWidth="1"/>
    <col min="1289" max="1289" width="15.21875" style="1" customWidth="1"/>
    <col min="1290" max="1290" width="36.88671875" style="1" customWidth="1"/>
    <col min="1291" max="1291" width="40.6640625" style="1" customWidth="1"/>
    <col min="1292" max="1292" width="13.44140625" style="1" customWidth="1"/>
    <col min="1293" max="1293" width="3.6640625" style="1" customWidth="1"/>
    <col min="1294" max="1536" width="8.6640625" style="1"/>
    <col min="1537" max="1537" width="0.88671875" style="1" customWidth="1"/>
    <col min="1538" max="1538" width="4" style="1" customWidth="1"/>
    <col min="1539" max="1539" width="18.44140625" style="1" customWidth="1"/>
    <col min="1540" max="1540" width="19.33203125" style="1" customWidth="1"/>
    <col min="1541" max="1541" width="25" style="1" bestFit="1" customWidth="1"/>
    <col min="1542" max="1542" width="25.6640625" style="1" bestFit="1" customWidth="1"/>
    <col min="1543" max="1543" width="15.109375" style="1" customWidth="1"/>
    <col min="1544" max="1544" width="8.77734375" style="1" customWidth="1"/>
    <col min="1545" max="1545" width="15.21875" style="1" customWidth="1"/>
    <col min="1546" max="1546" width="36.88671875" style="1" customWidth="1"/>
    <col min="1547" max="1547" width="40.6640625" style="1" customWidth="1"/>
    <col min="1548" max="1548" width="13.44140625" style="1" customWidth="1"/>
    <col min="1549" max="1549" width="3.6640625" style="1" customWidth="1"/>
    <col min="1550" max="1792" width="8.6640625" style="1"/>
    <col min="1793" max="1793" width="0.88671875" style="1" customWidth="1"/>
    <col min="1794" max="1794" width="4" style="1" customWidth="1"/>
    <col min="1795" max="1795" width="18.44140625" style="1" customWidth="1"/>
    <col min="1796" max="1796" width="19.33203125" style="1" customWidth="1"/>
    <col min="1797" max="1797" width="25" style="1" bestFit="1" customWidth="1"/>
    <col min="1798" max="1798" width="25.6640625" style="1" bestFit="1" customWidth="1"/>
    <col min="1799" max="1799" width="15.109375" style="1" customWidth="1"/>
    <col min="1800" max="1800" width="8.77734375" style="1" customWidth="1"/>
    <col min="1801" max="1801" width="15.21875" style="1" customWidth="1"/>
    <col min="1802" max="1802" width="36.88671875" style="1" customWidth="1"/>
    <col min="1803" max="1803" width="40.6640625" style="1" customWidth="1"/>
    <col min="1804" max="1804" width="13.44140625" style="1" customWidth="1"/>
    <col min="1805" max="1805" width="3.6640625" style="1" customWidth="1"/>
    <col min="1806" max="2048" width="8.6640625" style="1"/>
    <col min="2049" max="2049" width="0.88671875" style="1" customWidth="1"/>
    <col min="2050" max="2050" width="4" style="1" customWidth="1"/>
    <col min="2051" max="2051" width="18.44140625" style="1" customWidth="1"/>
    <col min="2052" max="2052" width="19.33203125" style="1" customWidth="1"/>
    <col min="2053" max="2053" width="25" style="1" bestFit="1" customWidth="1"/>
    <col min="2054" max="2054" width="25.6640625" style="1" bestFit="1" customWidth="1"/>
    <col min="2055" max="2055" width="15.109375" style="1" customWidth="1"/>
    <col min="2056" max="2056" width="8.77734375" style="1" customWidth="1"/>
    <col min="2057" max="2057" width="15.21875" style="1" customWidth="1"/>
    <col min="2058" max="2058" width="36.88671875" style="1" customWidth="1"/>
    <col min="2059" max="2059" width="40.6640625" style="1" customWidth="1"/>
    <col min="2060" max="2060" width="13.44140625" style="1" customWidth="1"/>
    <col min="2061" max="2061" width="3.6640625" style="1" customWidth="1"/>
    <col min="2062" max="2304" width="8.6640625" style="1"/>
    <col min="2305" max="2305" width="0.88671875" style="1" customWidth="1"/>
    <col min="2306" max="2306" width="4" style="1" customWidth="1"/>
    <col min="2307" max="2307" width="18.44140625" style="1" customWidth="1"/>
    <col min="2308" max="2308" width="19.33203125" style="1" customWidth="1"/>
    <col min="2309" max="2309" width="25" style="1" bestFit="1" customWidth="1"/>
    <col min="2310" max="2310" width="25.6640625" style="1" bestFit="1" customWidth="1"/>
    <col min="2311" max="2311" width="15.109375" style="1" customWidth="1"/>
    <col min="2312" max="2312" width="8.77734375" style="1" customWidth="1"/>
    <col min="2313" max="2313" width="15.21875" style="1" customWidth="1"/>
    <col min="2314" max="2314" width="36.88671875" style="1" customWidth="1"/>
    <col min="2315" max="2315" width="40.6640625" style="1" customWidth="1"/>
    <col min="2316" max="2316" width="13.44140625" style="1" customWidth="1"/>
    <col min="2317" max="2317" width="3.6640625" style="1" customWidth="1"/>
    <col min="2318" max="2560" width="8.6640625" style="1"/>
    <col min="2561" max="2561" width="0.88671875" style="1" customWidth="1"/>
    <col min="2562" max="2562" width="4" style="1" customWidth="1"/>
    <col min="2563" max="2563" width="18.44140625" style="1" customWidth="1"/>
    <col min="2564" max="2564" width="19.33203125" style="1" customWidth="1"/>
    <col min="2565" max="2565" width="25" style="1" bestFit="1" customWidth="1"/>
    <col min="2566" max="2566" width="25.6640625" style="1" bestFit="1" customWidth="1"/>
    <col min="2567" max="2567" width="15.109375" style="1" customWidth="1"/>
    <col min="2568" max="2568" width="8.77734375" style="1" customWidth="1"/>
    <col min="2569" max="2569" width="15.21875" style="1" customWidth="1"/>
    <col min="2570" max="2570" width="36.88671875" style="1" customWidth="1"/>
    <col min="2571" max="2571" width="40.6640625" style="1" customWidth="1"/>
    <col min="2572" max="2572" width="13.44140625" style="1" customWidth="1"/>
    <col min="2573" max="2573" width="3.6640625" style="1" customWidth="1"/>
    <col min="2574" max="2816" width="8.6640625" style="1"/>
    <col min="2817" max="2817" width="0.88671875" style="1" customWidth="1"/>
    <col min="2818" max="2818" width="4" style="1" customWidth="1"/>
    <col min="2819" max="2819" width="18.44140625" style="1" customWidth="1"/>
    <col min="2820" max="2820" width="19.33203125" style="1" customWidth="1"/>
    <col min="2821" max="2821" width="25" style="1" bestFit="1" customWidth="1"/>
    <col min="2822" max="2822" width="25.6640625" style="1" bestFit="1" customWidth="1"/>
    <col min="2823" max="2823" width="15.109375" style="1" customWidth="1"/>
    <col min="2824" max="2824" width="8.77734375" style="1" customWidth="1"/>
    <col min="2825" max="2825" width="15.21875" style="1" customWidth="1"/>
    <col min="2826" max="2826" width="36.88671875" style="1" customWidth="1"/>
    <col min="2827" max="2827" width="40.6640625" style="1" customWidth="1"/>
    <col min="2828" max="2828" width="13.44140625" style="1" customWidth="1"/>
    <col min="2829" max="2829" width="3.6640625" style="1" customWidth="1"/>
    <col min="2830" max="3072" width="8.6640625" style="1"/>
    <col min="3073" max="3073" width="0.88671875" style="1" customWidth="1"/>
    <col min="3074" max="3074" width="4" style="1" customWidth="1"/>
    <col min="3075" max="3075" width="18.44140625" style="1" customWidth="1"/>
    <col min="3076" max="3076" width="19.33203125" style="1" customWidth="1"/>
    <col min="3077" max="3077" width="25" style="1" bestFit="1" customWidth="1"/>
    <col min="3078" max="3078" width="25.6640625" style="1" bestFit="1" customWidth="1"/>
    <col min="3079" max="3079" width="15.109375" style="1" customWidth="1"/>
    <col min="3080" max="3080" width="8.77734375" style="1" customWidth="1"/>
    <col min="3081" max="3081" width="15.21875" style="1" customWidth="1"/>
    <col min="3082" max="3082" width="36.88671875" style="1" customWidth="1"/>
    <col min="3083" max="3083" width="40.6640625" style="1" customWidth="1"/>
    <col min="3084" max="3084" width="13.44140625" style="1" customWidth="1"/>
    <col min="3085" max="3085" width="3.6640625" style="1" customWidth="1"/>
    <col min="3086" max="3328" width="8.6640625" style="1"/>
    <col min="3329" max="3329" width="0.88671875" style="1" customWidth="1"/>
    <col min="3330" max="3330" width="4" style="1" customWidth="1"/>
    <col min="3331" max="3331" width="18.44140625" style="1" customWidth="1"/>
    <col min="3332" max="3332" width="19.33203125" style="1" customWidth="1"/>
    <col min="3333" max="3333" width="25" style="1" bestFit="1" customWidth="1"/>
    <col min="3334" max="3334" width="25.6640625" style="1" bestFit="1" customWidth="1"/>
    <col min="3335" max="3335" width="15.109375" style="1" customWidth="1"/>
    <col min="3336" max="3336" width="8.77734375" style="1" customWidth="1"/>
    <col min="3337" max="3337" width="15.21875" style="1" customWidth="1"/>
    <col min="3338" max="3338" width="36.88671875" style="1" customWidth="1"/>
    <col min="3339" max="3339" width="40.6640625" style="1" customWidth="1"/>
    <col min="3340" max="3340" width="13.44140625" style="1" customWidth="1"/>
    <col min="3341" max="3341" width="3.6640625" style="1" customWidth="1"/>
    <col min="3342" max="3584" width="8.6640625" style="1"/>
    <col min="3585" max="3585" width="0.88671875" style="1" customWidth="1"/>
    <col min="3586" max="3586" width="4" style="1" customWidth="1"/>
    <col min="3587" max="3587" width="18.44140625" style="1" customWidth="1"/>
    <col min="3588" max="3588" width="19.33203125" style="1" customWidth="1"/>
    <col min="3589" max="3589" width="25" style="1" bestFit="1" customWidth="1"/>
    <col min="3590" max="3590" width="25.6640625" style="1" bestFit="1" customWidth="1"/>
    <col min="3591" max="3591" width="15.109375" style="1" customWidth="1"/>
    <col min="3592" max="3592" width="8.77734375" style="1" customWidth="1"/>
    <col min="3593" max="3593" width="15.21875" style="1" customWidth="1"/>
    <col min="3594" max="3594" width="36.88671875" style="1" customWidth="1"/>
    <col min="3595" max="3595" width="40.6640625" style="1" customWidth="1"/>
    <col min="3596" max="3596" width="13.44140625" style="1" customWidth="1"/>
    <col min="3597" max="3597" width="3.6640625" style="1" customWidth="1"/>
    <col min="3598" max="3840" width="8.6640625" style="1"/>
    <col min="3841" max="3841" width="0.88671875" style="1" customWidth="1"/>
    <col min="3842" max="3842" width="4" style="1" customWidth="1"/>
    <col min="3843" max="3843" width="18.44140625" style="1" customWidth="1"/>
    <col min="3844" max="3844" width="19.33203125" style="1" customWidth="1"/>
    <col min="3845" max="3845" width="25" style="1" bestFit="1" customWidth="1"/>
    <col min="3846" max="3846" width="25.6640625" style="1" bestFit="1" customWidth="1"/>
    <col min="3847" max="3847" width="15.109375" style="1" customWidth="1"/>
    <col min="3848" max="3848" width="8.77734375" style="1" customWidth="1"/>
    <col min="3849" max="3849" width="15.21875" style="1" customWidth="1"/>
    <col min="3850" max="3850" width="36.88671875" style="1" customWidth="1"/>
    <col min="3851" max="3851" width="40.6640625" style="1" customWidth="1"/>
    <col min="3852" max="3852" width="13.44140625" style="1" customWidth="1"/>
    <col min="3853" max="3853" width="3.6640625" style="1" customWidth="1"/>
    <col min="3854" max="4096" width="8.6640625" style="1"/>
    <col min="4097" max="4097" width="0.88671875" style="1" customWidth="1"/>
    <col min="4098" max="4098" width="4" style="1" customWidth="1"/>
    <col min="4099" max="4099" width="18.44140625" style="1" customWidth="1"/>
    <col min="4100" max="4100" width="19.33203125" style="1" customWidth="1"/>
    <col min="4101" max="4101" width="25" style="1" bestFit="1" customWidth="1"/>
    <col min="4102" max="4102" width="25.6640625" style="1" bestFit="1" customWidth="1"/>
    <col min="4103" max="4103" width="15.109375" style="1" customWidth="1"/>
    <col min="4104" max="4104" width="8.77734375" style="1" customWidth="1"/>
    <col min="4105" max="4105" width="15.21875" style="1" customWidth="1"/>
    <col min="4106" max="4106" width="36.88671875" style="1" customWidth="1"/>
    <col min="4107" max="4107" width="40.6640625" style="1" customWidth="1"/>
    <col min="4108" max="4108" width="13.44140625" style="1" customWidth="1"/>
    <col min="4109" max="4109" width="3.6640625" style="1" customWidth="1"/>
    <col min="4110" max="4352" width="8.6640625" style="1"/>
    <col min="4353" max="4353" width="0.88671875" style="1" customWidth="1"/>
    <col min="4354" max="4354" width="4" style="1" customWidth="1"/>
    <col min="4355" max="4355" width="18.44140625" style="1" customWidth="1"/>
    <col min="4356" max="4356" width="19.33203125" style="1" customWidth="1"/>
    <col min="4357" max="4357" width="25" style="1" bestFit="1" customWidth="1"/>
    <col min="4358" max="4358" width="25.6640625" style="1" bestFit="1" customWidth="1"/>
    <col min="4359" max="4359" width="15.109375" style="1" customWidth="1"/>
    <col min="4360" max="4360" width="8.77734375" style="1" customWidth="1"/>
    <col min="4361" max="4361" width="15.21875" style="1" customWidth="1"/>
    <col min="4362" max="4362" width="36.88671875" style="1" customWidth="1"/>
    <col min="4363" max="4363" width="40.6640625" style="1" customWidth="1"/>
    <col min="4364" max="4364" width="13.44140625" style="1" customWidth="1"/>
    <col min="4365" max="4365" width="3.6640625" style="1" customWidth="1"/>
    <col min="4366" max="4608" width="8.6640625" style="1"/>
    <col min="4609" max="4609" width="0.88671875" style="1" customWidth="1"/>
    <col min="4610" max="4610" width="4" style="1" customWidth="1"/>
    <col min="4611" max="4611" width="18.44140625" style="1" customWidth="1"/>
    <col min="4612" max="4612" width="19.33203125" style="1" customWidth="1"/>
    <col min="4613" max="4613" width="25" style="1" bestFit="1" customWidth="1"/>
    <col min="4614" max="4614" width="25.6640625" style="1" bestFit="1" customWidth="1"/>
    <col min="4615" max="4615" width="15.109375" style="1" customWidth="1"/>
    <col min="4616" max="4616" width="8.77734375" style="1" customWidth="1"/>
    <col min="4617" max="4617" width="15.21875" style="1" customWidth="1"/>
    <col min="4618" max="4618" width="36.88671875" style="1" customWidth="1"/>
    <col min="4619" max="4619" width="40.6640625" style="1" customWidth="1"/>
    <col min="4620" max="4620" width="13.44140625" style="1" customWidth="1"/>
    <col min="4621" max="4621" width="3.6640625" style="1" customWidth="1"/>
    <col min="4622" max="4864" width="8.6640625" style="1"/>
    <col min="4865" max="4865" width="0.88671875" style="1" customWidth="1"/>
    <col min="4866" max="4866" width="4" style="1" customWidth="1"/>
    <col min="4867" max="4867" width="18.44140625" style="1" customWidth="1"/>
    <col min="4868" max="4868" width="19.33203125" style="1" customWidth="1"/>
    <col min="4869" max="4869" width="25" style="1" bestFit="1" customWidth="1"/>
    <col min="4870" max="4870" width="25.6640625" style="1" bestFit="1" customWidth="1"/>
    <col min="4871" max="4871" width="15.109375" style="1" customWidth="1"/>
    <col min="4872" max="4872" width="8.77734375" style="1" customWidth="1"/>
    <col min="4873" max="4873" width="15.21875" style="1" customWidth="1"/>
    <col min="4874" max="4874" width="36.88671875" style="1" customWidth="1"/>
    <col min="4875" max="4875" width="40.6640625" style="1" customWidth="1"/>
    <col min="4876" max="4876" width="13.44140625" style="1" customWidth="1"/>
    <col min="4877" max="4877" width="3.6640625" style="1" customWidth="1"/>
    <col min="4878" max="5120" width="8.6640625" style="1"/>
    <col min="5121" max="5121" width="0.88671875" style="1" customWidth="1"/>
    <col min="5122" max="5122" width="4" style="1" customWidth="1"/>
    <col min="5123" max="5123" width="18.44140625" style="1" customWidth="1"/>
    <col min="5124" max="5124" width="19.33203125" style="1" customWidth="1"/>
    <col min="5125" max="5125" width="25" style="1" bestFit="1" customWidth="1"/>
    <col min="5126" max="5126" width="25.6640625" style="1" bestFit="1" customWidth="1"/>
    <col min="5127" max="5127" width="15.109375" style="1" customWidth="1"/>
    <col min="5128" max="5128" width="8.77734375" style="1" customWidth="1"/>
    <col min="5129" max="5129" width="15.21875" style="1" customWidth="1"/>
    <col min="5130" max="5130" width="36.88671875" style="1" customWidth="1"/>
    <col min="5131" max="5131" width="40.6640625" style="1" customWidth="1"/>
    <col min="5132" max="5132" width="13.44140625" style="1" customWidth="1"/>
    <col min="5133" max="5133" width="3.6640625" style="1" customWidth="1"/>
    <col min="5134" max="5376" width="8.6640625" style="1"/>
    <col min="5377" max="5377" width="0.88671875" style="1" customWidth="1"/>
    <col min="5378" max="5378" width="4" style="1" customWidth="1"/>
    <col min="5379" max="5379" width="18.44140625" style="1" customWidth="1"/>
    <col min="5380" max="5380" width="19.33203125" style="1" customWidth="1"/>
    <col min="5381" max="5381" width="25" style="1" bestFit="1" customWidth="1"/>
    <col min="5382" max="5382" width="25.6640625" style="1" bestFit="1" customWidth="1"/>
    <col min="5383" max="5383" width="15.109375" style="1" customWidth="1"/>
    <col min="5384" max="5384" width="8.77734375" style="1" customWidth="1"/>
    <col min="5385" max="5385" width="15.21875" style="1" customWidth="1"/>
    <col min="5386" max="5386" width="36.88671875" style="1" customWidth="1"/>
    <col min="5387" max="5387" width="40.6640625" style="1" customWidth="1"/>
    <col min="5388" max="5388" width="13.44140625" style="1" customWidth="1"/>
    <col min="5389" max="5389" width="3.6640625" style="1" customWidth="1"/>
    <col min="5390" max="5632" width="8.6640625" style="1"/>
    <col min="5633" max="5633" width="0.88671875" style="1" customWidth="1"/>
    <col min="5634" max="5634" width="4" style="1" customWidth="1"/>
    <col min="5635" max="5635" width="18.44140625" style="1" customWidth="1"/>
    <col min="5636" max="5636" width="19.33203125" style="1" customWidth="1"/>
    <col min="5637" max="5637" width="25" style="1" bestFit="1" customWidth="1"/>
    <col min="5638" max="5638" width="25.6640625" style="1" bestFit="1" customWidth="1"/>
    <col min="5639" max="5639" width="15.109375" style="1" customWidth="1"/>
    <col min="5640" max="5640" width="8.77734375" style="1" customWidth="1"/>
    <col min="5641" max="5641" width="15.21875" style="1" customWidth="1"/>
    <col min="5642" max="5642" width="36.88671875" style="1" customWidth="1"/>
    <col min="5643" max="5643" width="40.6640625" style="1" customWidth="1"/>
    <col min="5644" max="5644" width="13.44140625" style="1" customWidth="1"/>
    <col min="5645" max="5645" width="3.6640625" style="1" customWidth="1"/>
    <col min="5646" max="5888" width="8.6640625" style="1"/>
    <col min="5889" max="5889" width="0.88671875" style="1" customWidth="1"/>
    <col min="5890" max="5890" width="4" style="1" customWidth="1"/>
    <col min="5891" max="5891" width="18.44140625" style="1" customWidth="1"/>
    <col min="5892" max="5892" width="19.33203125" style="1" customWidth="1"/>
    <col min="5893" max="5893" width="25" style="1" bestFit="1" customWidth="1"/>
    <col min="5894" max="5894" width="25.6640625" style="1" bestFit="1" customWidth="1"/>
    <col min="5895" max="5895" width="15.109375" style="1" customWidth="1"/>
    <col min="5896" max="5896" width="8.77734375" style="1" customWidth="1"/>
    <col min="5897" max="5897" width="15.21875" style="1" customWidth="1"/>
    <col min="5898" max="5898" width="36.88671875" style="1" customWidth="1"/>
    <col min="5899" max="5899" width="40.6640625" style="1" customWidth="1"/>
    <col min="5900" max="5900" width="13.44140625" style="1" customWidth="1"/>
    <col min="5901" max="5901" width="3.6640625" style="1" customWidth="1"/>
    <col min="5902" max="6144" width="8.6640625" style="1"/>
    <col min="6145" max="6145" width="0.88671875" style="1" customWidth="1"/>
    <col min="6146" max="6146" width="4" style="1" customWidth="1"/>
    <col min="6147" max="6147" width="18.44140625" style="1" customWidth="1"/>
    <col min="6148" max="6148" width="19.33203125" style="1" customWidth="1"/>
    <col min="6149" max="6149" width="25" style="1" bestFit="1" customWidth="1"/>
    <col min="6150" max="6150" width="25.6640625" style="1" bestFit="1" customWidth="1"/>
    <col min="6151" max="6151" width="15.109375" style="1" customWidth="1"/>
    <col min="6152" max="6152" width="8.77734375" style="1" customWidth="1"/>
    <col min="6153" max="6153" width="15.21875" style="1" customWidth="1"/>
    <col min="6154" max="6154" width="36.88671875" style="1" customWidth="1"/>
    <col min="6155" max="6155" width="40.6640625" style="1" customWidth="1"/>
    <col min="6156" max="6156" width="13.44140625" style="1" customWidth="1"/>
    <col min="6157" max="6157" width="3.6640625" style="1" customWidth="1"/>
    <col min="6158" max="6400" width="8.6640625" style="1"/>
    <col min="6401" max="6401" width="0.88671875" style="1" customWidth="1"/>
    <col min="6402" max="6402" width="4" style="1" customWidth="1"/>
    <col min="6403" max="6403" width="18.44140625" style="1" customWidth="1"/>
    <col min="6404" max="6404" width="19.33203125" style="1" customWidth="1"/>
    <col min="6405" max="6405" width="25" style="1" bestFit="1" customWidth="1"/>
    <col min="6406" max="6406" width="25.6640625" style="1" bestFit="1" customWidth="1"/>
    <col min="6407" max="6407" width="15.109375" style="1" customWidth="1"/>
    <col min="6408" max="6408" width="8.77734375" style="1" customWidth="1"/>
    <col min="6409" max="6409" width="15.21875" style="1" customWidth="1"/>
    <col min="6410" max="6410" width="36.88671875" style="1" customWidth="1"/>
    <col min="6411" max="6411" width="40.6640625" style="1" customWidth="1"/>
    <col min="6412" max="6412" width="13.44140625" style="1" customWidth="1"/>
    <col min="6413" max="6413" width="3.6640625" style="1" customWidth="1"/>
    <col min="6414" max="6656" width="8.6640625" style="1"/>
    <col min="6657" max="6657" width="0.88671875" style="1" customWidth="1"/>
    <col min="6658" max="6658" width="4" style="1" customWidth="1"/>
    <col min="6659" max="6659" width="18.44140625" style="1" customWidth="1"/>
    <col min="6660" max="6660" width="19.33203125" style="1" customWidth="1"/>
    <col min="6661" max="6661" width="25" style="1" bestFit="1" customWidth="1"/>
    <col min="6662" max="6662" width="25.6640625" style="1" bestFit="1" customWidth="1"/>
    <col min="6663" max="6663" width="15.109375" style="1" customWidth="1"/>
    <col min="6664" max="6664" width="8.77734375" style="1" customWidth="1"/>
    <col min="6665" max="6665" width="15.21875" style="1" customWidth="1"/>
    <col min="6666" max="6666" width="36.88671875" style="1" customWidth="1"/>
    <col min="6667" max="6667" width="40.6640625" style="1" customWidth="1"/>
    <col min="6668" max="6668" width="13.44140625" style="1" customWidth="1"/>
    <col min="6669" max="6669" width="3.6640625" style="1" customWidth="1"/>
    <col min="6670" max="6912" width="8.6640625" style="1"/>
    <col min="6913" max="6913" width="0.88671875" style="1" customWidth="1"/>
    <col min="6914" max="6914" width="4" style="1" customWidth="1"/>
    <col min="6915" max="6915" width="18.44140625" style="1" customWidth="1"/>
    <col min="6916" max="6916" width="19.33203125" style="1" customWidth="1"/>
    <col min="6917" max="6917" width="25" style="1" bestFit="1" customWidth="1"/>
    <col min="6918" max="6918" width="25.6640625" style="1" bestFit="1" customWidth="1"/>
    <col min="6919" max="6919" width="15.109375" style="1" customWidth="1"/>
    <col min="6920" max="6920" width="8.77734375" style="1" customWidth="1"/>
    <col min="6921" max="6921" width="15.21875" style="1" customWidth="1"/>
    <col min="6922" max="6922" width="36.88671875" style="1" customWidth="1"/>
    <col min="6923" max="6923" width="40.6640625" style="1" customWidth="1"/>
    <col min="6924" max="6924" width="13.44140625" style="1" customWidth="1"/>
    <col min="6925" max="6925" width="3.6640625" style="1" customWidth="1"/>
    <col min="6926" max="7168" width="8.6640625" style="1"/>
    <col min="7169" max="7169" width="0.88671875" style="1" customWidth="1"/>
    <col min="7170" max="7170" width="4" style="1" customWidth="1"/>
    <col min="7171" max="7171" width="18.44140625" style="1" customWidth="1"/>
    <col min="7172" max="7172" width="19.33203125" style="1" customWidth="1"/>
    <col min="7173" max="7173" width="25" style="1" bestFit="1" customWidth="1"/>
    <col min="7174" max="7174" width="25.6640625" style="1" bestFit="1" customWidth="1"/>
    <col min="7175" max="7175" width="15.109375" style="1" customWidth="1"/>
    <col min="7176" max="7176" width="8.77734375" style="1" customWidth="1"/>
    <col min="7177" max="7177" width="15.21875" style="1" customWidth="1"/>
    <col min="7178" max="7178" width="36.88671875" style="1" customWidth="1"/>
    <col min="7179" max="7179" width="40.6640625" style="1" customWidth="1"/>
    <col min="7180" max="7180" width="13.44140625" style="1" customWidth="1"/>
    <col min="7181" max="7181" width="3.6640625" style="1" customWidth="1"/>
    <col min="7182" max="7424" width="8.6640625" style="1"/>
    <col min="7425" max="7425" width="0.88671875" style="1" customWidth="1"/>
    <col min="7426" max="7426" width="4" style="1" customWidth="1"/>
    <col min="7427" max="7427" width="18.44140625" style="1" customWidth="1"/>
    <col min="7428" max="7428" width="19.33203125" style="1" customWidth="1"/>
    <col min="7429" max="7429" width="25" style="1" bestFit="1" customWidth="1"/>
    <col min="7430" max="7430" width="25.6640625" style="1" bestFit="1" customWidth="1"/>
    <col min="7431" max="7431" width="15.109375" style="1" customWidth="1"/>
    <col min="7432" max="7432" width="8.77734375" style="1" customWidth="1"/>
    <col min="7433" max="7433" width="15.21875" style="1" customWidth="1"/>
    <col min="7434" max="7434" width="36.88671875" style="1" customWidth="1"/>
    <col min="7435" max="7435" width="40.6640625" style="1" customWidth="1"/>
    <col min="7436" max="7436" width="13.44140625" style="1" customWidth="1"/>
    <col min="7437" max="7437" width="3.6640625" style="1" customWidth="1"/>
    <col min="7438" max="7680" width="8.6640625" style="1"/>
    <col min="7681" max="7681" width="0.88671875" style="1" customWidth="1"/>
    <col min="7682" max="7682" width="4" style="1" customWidth="1"/>
    <col min="7683" max="7683" width="18.44140625" style="1" customWidth="1"/>
    <col min="7684" max="7684" width="19.33203125" style="1" customWidth="1"/>
    <col min="7685" max="7685" width="25" style="1" bestFit="1" customWidth="1"/>
    <col min="7686" max="7686" width="25.6640625" style="1" bestFit="1" customWidth="1"/>
    <col min="7687" max="7687" width="15.109375" style="1" customWidth="1"/>
    <col min="7688" max="7688" width="8.77734375" style="1" customWidth="1"/>
    <col min="7689" max="7689" width="15.21875" style="1" customWidth="1"/>
    <col min="7690" max="7690" width="36.88671875" style="1" customWidth="1"/>
    <col min="7691" max="7691" width="40.6640625" style="1" customWidth="1"/>
    <col min="7692" max="7692" width="13.44140625" style="1" customWidth="1"/>
    <col min="7693" max="7693" width="3.6640625" style="1" customWidth="1"/>
    <col min="7694" max="7936" width="8.6640625" style="1"/>
    <col min="7937" max="7937" width="0.88671875" style="1" customWidth="1"/>
    <col min="7938" max="7938" width="4" style="1" customWidth="1"/>
    <col min="7939" max="7939" width="18.44140625" style="1" customWidth="1"/>
    <col min="7940" max="7940" width="19.33203125" style="1" customWidth="1"/>
    <col min="7941" max="7941" width="25" style="1" bestFit="1" customWidth="1"/>
    <col min="7942" max="7942" width="25.6640625" style="1" bestFit="1" customWidth="1"/>
    <col min="7943" max="7943" width="15.109375" style="1" customWidth="1"/>
    <col min="7944" max="7944" width="8.77734375" style="1" customWidth="1"/>
    <col min="7945" max="7945" width="15.21875" style="1" customWidth="1"/>
    <col min="7946" max="7946" width="36.88671875" style="1" customWidth="1"/>
    <col min="7947" max="7947" width="40.6640625" style="1" customWidth="1"/>
    <col min="7948" max="7948" width="13.44140625" style="1" customWidth="1"/>
    <col min="7949" max="7949" width="3.6640625" style="1" customWidth="1"/>
    <col min="7950" max="8192" width="8.6640625" style="1"/>
    <col min="8193" max="8193" width="0.88671875" style="1" customWidth="1"/>
    <col min="8194" max="8194" width="4" style="1" customWidth="1"/>
    <col min="8195" max="8195" width="18.44140625" style="1" customWidth="1"/>
    <col min="8196" max="8196" width="19.33203125" style="1" customWidth="1"/>
    <col min="8197" max="8197" width="25" style="1" bestFit="1" customWidth="1"/>
    <col min="8198" max="8198" width="25.6640625" style="1" bestFit="1" customWidth="1"/>
    <col min="8199" max="8199" width="15.109375" style="1" customWidth="1"/>
    <col min="8200" max="8200" width="8.77734375" style="1" customWidth="1"/>
    <col min="8201" max="8201" width="15.21875" style="1" customWidth="1"/>
    <col min="8202" max="8202" width="36.88671875" style="1" customWidth="1"/>
    <col min="8203" max="8203" width="40.6640625" style="1" customWidth="1"/>
    <col min="8204" max="8204" width="13.44140625" style="1" customWidth="1"/>
    <col min="8205" max="8205" width="3.6640625" style="1" customWidth="1"/>
    <col min="8206" max="8448" width="8.6640625" style="1"/>
    <col min="8449" max="8449" width="0.88671875" style="1" customWidth="1"/>
    <col min="8450" max="8450" width="4" style="1" customWidth="1"/>
    <col min="8451" max="8451" width="18.44140625" style="1" customWidth="1"/>
    <col min="8452" max="8452" width="19.33203125" style="1" customWidth="1"/>
    <col min="8453" max="8453" width="25" style="1" bestFit="1" customWidth="1"/>
    <col min="8454" max="8454" width="25.6640625" style="1" bestFit="1" customWidth="1"/>
    <col min="8455" max="8455" width="15.109375" style="1" customWidth="1"/>
    <col min="8456" max="8456" width="8.77734375" style="1" customWidth="1"/>
    <col min="8457" max="8457" width="15.21875" style="1" customWidth="1"/>
    <col min="8458" max="8458" width="36.88671875" style="1" customWidth="1"/>
    <col min="8459" max="8459" width="40.6640625" style="1" customWidth="1"/>
    <col min="8460" max="8460" width="13.44140625" style="1" customWidth="1"/>
    <col min="8461" max="8461" width="3.6640625" style="1" customWidth="1"/>
    <col min="8462" max="8704" width="8.6640625" style="1"/>
    <col min="8705" max="8705" width="0.88671875" style="1" customWidth="1"/>
    <col min="8706" max="8706" width="4" style="1" customWidth="1"/>
    <col min="8707" max="8707" width="18.44140625" style="1" customWidth="1"/>
    <col min="8708" max="8708" width="19.33203125" style="1" customWidth="1"/>
    <col min="8709" max="8709" width="25" style="1" bestFit="1" customWidth="1"/>
    <col min="8710" max="8710" width="25.6640625" style="1" bestFit="1" customWidth="1"/>
    <col min="8711" max="8711" width="15.109375" style="1" customWidth="1"/>
    <col min="8712" max="8712" width="8.77734375" style="1" customWidth="1"/>
    <col min="8713" max="8713" width="15.21875" style="1" customWidth="1"/>
    <col min="8714" max="8714" width="36.88671875" style="1" customWidth="1"/>
    <col min="8715" max="8715" width="40.6640625" style="1" customWidth="1"/>
    <col min="8716" max="8716" width="13.44140625" style="1" customWidth="1"/>
    <col min="8717" max="8717" width="3.6640625" style="1" customWidth="1"/>
    <col min="8718" max="8960" width="8.6640625" style="1"/>
    <col min="8961" max="8961" width="0.88671875" style="1" customWidth="1"/>
    <col min="8962" max="8962" width="4" style="1" customWidth="1"/>
    <col min="8963" max="8963" width="18.44140625" style="1" customWidth="1"/>
    <col min="8964" max="8964" width="19.33203125" style="1" customWidth="1"/>
    <col min="8965" max="8965" width="25" style="1" bestFit="1" customWidth="1"/>
    <col min="8966" max="8966" width="25.6640625" style="1" bestFit="1" customWidth="1"/>
    <col min="8967" max="8967" width="15.109375" style="1" customWidth="1"/>
    <col min="8968" max="8968" width="8.77734375" style="1" customWidth="1"/>
    <col min="8969" max="8969" width="15.21875" style="1" customWidth="1"/>
    <col min="8970" max="8970" width="36.88671875" style="1" customWidth="1"/>
    <col min="8971" max="8971" width="40.6640625" style="1" customWidth="1"/>
    <col min="8972" max="8972" width="13.44140625" style="1" customWidth="1"/>
    <col min="8973" max="8973" width="3.6640625" style="1" customWidth="1"/>
    <col min="8974" max="9216" width="8.6640625" style="1"/>
    <col min="9217" max="9217" width="0.88671875" style="1" customWidth="1"/>
    <col min="9218" max="9218" width="4" style="1" customWidth="1"/>
    <col min="9219" max="9219" width="18.44140625" style="1" customWidth="1"/>
    <col min="9220" max="9220" width="19.33203125" style="1" customWidth="1"/>
    <col min="9221" max="9221" width="25" style="1" bestFit="1" customWidth="1"/>
    <col min="9222" max="9222" width="25.6640625" style="1" bestFit="1" customWidth="1"/>
    <col min="9223" max="9223" width="15.109375" style="1" customWidth="1"/>
    <col min="9224" max="9224" width="8.77734375" style="1" customWidth="1"/>
    <col min="9225" max="9225" width="15.21875" style="1" customWidth="1"/>
    <col min="9226" max="9226" width="36.88671875" style="1" customWidth="1"/>
    <col min="9227" max="9227" width="40.6640625" style="1" customWidth="1"/>
    <col min="9228" max="9228" width="13.44140625" style="1" customWidth="1"/>
    <col min="9229" max="9229" width="3.6640625" style="1" customWidth="1"/>
    <col min="9230" max="9472" width="8.6640625" style="1"/>
    <col min="9473" max="9473" width="0.88671875" style="1" customWidth="1"/>
    <col min="9474" max="9474" width="4" style="1" customWidth="1"/>
    <col min="9475" max="9475" width="18.44140625" style="1" customWidth="1"/>
    <col min="9476" max="9476" width="19.33203125" style="1" customWidth="1"/>
    <col min="9477" max="9477" width="25" style="1" bestFit="1" customWidth="1"/>
    <col min="9478" max="9478" width="25.6640625" style="1" bestFit="1" customWidth="1"/>
    <col min="9479" max="9479" width="15.109375" style="1" customWidth="1"/>
    <col min="9480" max="9480" width="8.77734375" style="1" customWidth="1"/>
    <col min="9481" max="9481" width="15.21875" style="1" customWidth="1"/>
    <col min="9482" max="9482" width="36.88671875" style="1" customWidth="1"/>
    <col min="9483" max="9483" width="40.6640625" style="1" customWidth="1"/>
    <col min="9484" max="9484" width="13.44140625" style="1" customWidth="1"/>
    <col min="9485" max="9485" width="3.6640625" style="1" customWidth="1"/>
    <col min="9486" max="9728" width="8.6640625" style="1"/>
    <col min="9729" max="9729" width="0.88671875" style="1" customWidth="1"/>
    <col min="9730" max="9730" width="4" style="1" customWidth="1"/>
    <col min="9731" max="9731" width="18.44140625" style="1" customWidth="1"/>
    <col min="9732" max="9732" width="19.33203125" style="1" customWidth="1"/>
    <col min="9733" max="9733" width="25" style="1" bestFit="1" customWidth="1"/>
    <col min="9734" max="9734" width="25.6640625" style="1" bestFit="1" customWidth="1"/>
    <col min="9735" max="9735" width="15.109375" style="1" customWidth="1"/>
    <col min="9736" max="9736" width="8.77734375" style="1" customWidth="1"/>
    <col min="9737" max="9737" width="15.21875" style="1" customWidth="1"/>
    <col min="9738" max="9738" width="36.88671875" style="1" customWidth="1"/>
    <col min="9739" max="9739" width="40.6640625" style="1" customWidth="1"/>
    <col min="9740" max="9740" width="13.44140625" style="1" customWidth="1"/>
    <col min="9741" max="9741" width="3.6640625" style="1" customWidth="1"/>
    <col min="9742" max="9984" width="8.6640625" style="1"/>
    <col min="9985" max="9985" width="0.88671875" style="1" customWidth="1"/>
    <col min="9986" max="9986" width="4" style="1" customWidth="1"/>
    <col min="9987" max="9987" width="18.44140625" style="1" customWidth="1"/>
    <col min="9988" max="9988" width="19.33203125" style="1" customWidth="1"/>
    <col min="9989" max="9989" width="25" style="1" bestFit="1" customWidth="1"/>
    <col min="9990" max="9990" width="25.6640625" style="1" bestFit="1" customWidth="1"/>
    <col min="9991" max="9991" width="15.109375" style="1" customWidth="1"/>
    <col min="9992" max="9992" width="8.77734375" style="1" customWidth="1"/>
    <col min="9993" max="9993" width="15.21875" style="1" customWidth="1"/>
    <col min="9994" max="9994" width="36.88671875" style="1" customWidth="1"/>
    <col min="9995" max="9995" width="40.6640625" style="1" customWidth="1"/>
    <col min="9996" max="9996" width="13.44140625" style="1" customWidth="1"/>
    <col min="9997" max="9997" width="3.6640625" style="1" customWidth="1"/>
    <col min="9998" max="10240" width="8.6640625" style="1"/>
    <col min="10241" max="10241" width="0.88671875" style="1" customWidth="1"/>
    <col min="10242" max="10242" width="4" style="1" customWidth="1"/>
    <col min="10243" max="10243" width="18.44140625" style="1" customWidth="1"/>
    <col min="10244" max="10244" width="19.33203125" style="1" customWidth="1"/>
    <col min="10245" max="10245" width="25" style="1" bestFit="1" customWidth="1"/>
    <col min="10246" max="10246" width="25.6640625" style="1" bestFit="1" customWidth="1"/>
    <col min="10247" max="10247" width="15.109375" style="1" customWidth="1"/>
    <col min="10248" max="10248" width="8.77734375" style="1" customWidth="1"/>
    <col min="10249" max="10249" width="15.21875" style="1" customWidth="1"/>
    <col min="10250" max="10250" width="36.88671875" style="1" customWidth="1"/>
    <col min="10251" max="10251" width="40.6640625" style="1" customWidth="1"/>
    <col min="10252" max="10252" width="13.44140625" style="1" customWidth="1"/>
    <col min="10253" max="10253" width="3.6640625" style="1" customWidth="1"/>
    <col min="10254" max="10496" width="8.6640625" style="1"/>
    <col min="10497" max="10497" width="0.88671875" style="1" customWidth="1"/>
    <col min="10498" max="10498" width="4" style="1" customWidth="1"/>
    <col min="10499" max="10499" width="18.44140625" style="1" customWidth="1"/>
    <col min="10500" max="10500" width="19.33203125" style="1" customWidth="1"/>
    <col min="10501" max="10501" width="25" style="1" bestFit="1" customWidth="1"/>
    <col min="10502" max="10502" width="25.6640625" style="1" bestFit="1" customWidth="1"/>
    <col min="10503" max="10503" width="15.109375" style="1" customWidth="1"/>
    <col min="10504" max="10504" width="8.77734375" style="1" customWidth="1"/>
    <col min="10505" max="10505" width="15.21875" style="1" customWidth="1"/>
    <col min="10506" max="10506" width="36.88671875" style="1" customWidth="1"/>
    <col min="10507" max="10507" width="40.6640625" style="1" customWidth="1"/>
    <col min="10508" max="10508" width="13.44140625" style="1" customWidth="1"/>
    <col min="10509" max="10509" width="3.6640625" style="1" customWidth="1"/>
    <col min="10510" max="10752" width="8.6640625" style="1"/>
    <col min="10753" max="10753" width="0.88671875" style="1" customWidth="1"/>
    <col min="10754" max="10754" width="4" style="1" customWidth="1"/>
    <col min="10755" max="10755" width="18.44140625" style="1" customWidth="1"/>
    <col min="10756" max="10756" width="19.33203125" style="1" customWidth="1"/>
    <col min="10757" max="10757" width="25" style="1" bestFit="1" customWidth="1"/>
    <col min="10758" max="10758" width="25.6640625" style="1" bestFit="1" customWidth="1"/>
    <col min="10759" max="10759" width="15.109375" style="1" customWidth="1"/>
    <col min="10760" max="10760" width="8.77734375" style="1" customWidth="1"/>
    <col min="10761" max="10761" width="15.21875" style="1" customWidth="1"/>
    <col min="10762" max="10762" width="36.88671875" style="1" customWidth="1"/>
    <col min="10763" max="10763" width="40.6640625" style="1" customWidth="1"/>
    <col min="10764" max="10764" width="13.44140625" style="1" customWidth="1"/>
    <col min="10765" max="10765" width="3.6640625" style="1" customWidth="1"/>
    <col min="10766" max="11008" width="8.6640625" style="1"/>
    <col min="11009" max="11009" width="0.88671875" style="1" customWidth="1"/>
    <col min="11010" max="11010" width="4" style="1" customWidth="1"/>
    <col min="11011" max="11011" width="18.44140625" style="1" customWidth="1"/>
    <col min="11012" max="11012" width="19.33203125" style="1" customWidth="1"/>
    <col min="11013" max="11013" width="25" style="1" bestFit="1" customWidth="1"/>
    <col min="11014" max="11014" width="25.6640625" style="1" bestFit="1" customWidth="1"/>
    <col min="11015" max="11015" width="15.109375" style="1" customWidth="1"/>
    <col min="11016" max="11016" width="8.77734375" style="1" customWidth="1"/>
    <col min="11017" max="11017" width="15.21875" style="1" customWidth="1"/>
    <col min="11018" max="11018" width="36.88671875" style="1" customWidth="1"/>
    <col min="11019" max="11019" width="40.6640625" style="1" customWidth="1"/>
    <col min="11020" max="11020" width="13.44140625" style="1" customWidth="1"/>
    <col min="11021" max="11021" width="3.6640625" style="1" customWidth="1"/>
    <col min="11022" max="11264" width="8.6640625" style="1"/>
    <col min="11265" max="11265" width="0.88671875" style="1" customWidth="1"/>
    <col min="11266" max="11266" width="4" style="1" customWidth="1"/>
    <col min="11267" max="11267" width="18.44140625" style="1" customWidth="1"/>
    <col min="11268" max="11268" width="19.33203125" style="1" customWidth="1"/>
    <col min="11269" max="11269" width="25" style="1" bestFit="1" customWidth="1"/>
    <col min="11270" max="11270" width="25.6640625" style="1" bestFit="1" customWidth="1"/>
    <col min="11271" max="11271" width="15.109375" style="1" customWidth="1"/>
    <col min="11272" max="11272" width="8.77734375" style="1" customWidth="1"/>
    <col min="11273" max="11273" width="15.21875" style="1" customWidth="1"/>
    <col min="11274" max="11274" width="36.88671875" style="1" customWidth="1"/>
    <col min="11275" max="11275" width="40.6640625" style="1" customWidth="1"/>
    <col min="11276" max="11276" width="13.44140625" style="1" customWidth="1"/>
    <col min="11277" max="11277" width="3.6640625" style="1" customWidth="1"/>
    <col min="11278" max="11520" width="8.6640625" style="1"/>
    <col min="11521" max="11521" width="0.88671875" style="1" customWidth="1"/>
    <col min="11522" max="11522" width="4" style="1" customWidth="1"/>
    <col min="11523" max="11523" width="18.44140625" style="1" customWidth="1"/>
    <col min="11524" max="11524" width="19.33203125" style="1" customWidth="1"/>
    <col min="11525" max="11525" width="25" style="1" bestFit="1" customWidth="1"/>
    <col min="11526" max="11526" width="25.6640625" style="1" bestFit="1" customWidth="1"/>
    <col min="11527" max="11527" width="15.109375" style="1" customWidth="1"/>
    <col min="11528" max="11528" width="8.77734375" style="1" customWidth="1"/>
    <col min="11529" max="11529" width="15.21875" style="1" customWidth="1"/>
    <col min="11530" max="11530" width="36.88671875" style="1" customWidth="1"/>
    <col min="11531" max="11531" width="40.6640625" style="1" customWidth="1"/>
    <col min="11532" max="11532" width="13.44140625" style="1" customWidth="1"/>
    <col min="11533" max="11533" width="3.6640625" style="1" customWidth="1"/>
    <col min="11534" max="11776" width="8.6640625" style="1"/>
    <col min="11777" max="11777" width="0.88671875" style="1" customWidth="1"/>
    <col min="11778" max="11778" width="4" style="1" customWidth="1"/>
    <col min="11779" max="11779" width="18.44140625" style="1" customWidth="1"/>
    <col min="11780" max="11780" width="19.33203125" style="1" customWidth="1"/>
    <col min="11781" max="11781" width="25" style="1" bestFit="1" customWidth="1"/>
    <col min="11782" max="11782" width="25.6640625" style="1" bestFit="1" customWidth="1"/>
    <col min="11783" max="11783" width="15.109375" style="1" customWidth="1"/>
    <col min="11784" max="11784" width="8.77734375" style="1" customWidth="1"/>
    <col min="11785" max="11785" width="15.21875" style="1" customWidth="1"/>
    <col min="11786" max="11786" width="36.88671875" style="1" customWidth="1"/>
    <col min="11787" max="11787" width="40.6640625" style="1" customWidth="1"/>
    <col min="11788" max="11788" width="13.44140625" style="1" customWidth="1"/>
    <col min="11789" max="11789" width="3.6640625" style="1" customWidth="1"/>
    <col min="11790" max="12032" width="8.6640625" style="1"/>
    <col min="12033" max="12033" width="0.88671875" style="1" customWidth="1"/>
    <col min="12034" max="12034" width="4" style="1" customWidth="1"/>
    <col min="12035" max="12035" width="18.44140625" style="1" customWidth="1"/>
    <col min="12036" max="12036" width="19.33203125" style="1" customWidth="1"/>
    <col min="12037" max="12037" width="25" style="1" bestFit="1" customWidth="1"/>
    <col min="12038" max="12038" width="25.6640625" style="1" bestFit="1" customWidth="1"/>
    <col min="12039" max="12039" width="15.109375" style="1" customWidth="1"/>
    <col min="12040" max="12040" width="8.77734375" style="1" customWidth="1"/>
    <col min="12041" max="12041" width="15.21875" style="1" customWidth="1"/>
    <col min="12042" max="12042" width="36.88671875" style="1" customWidth="1"/>
    <col min="12043" max="12043" width="40.6640625" style="1" customWidth="1"/>
    <col min="12044" max="12044" width="13.44140625" style="1" customWidth="1"/>
    <col min="12045" max="12045" width="3.6640625" style="1" customWidth="1"/>
    <col min="12046" max="12288" width="8.6640625" style="1"/>
    <col min="12289" max="12289" width="0.88671875" style="1" customWidth="1"/>
    <col min="12290" max="12290" width="4" style="1" customWidth="1"/>
    <col min="12291" max="12291" width="18.44140625" style="1" customWidth="1"/>
    <col min="12292" max="12292" width="19.33203125" style="1" customWidth="1"/>
    <col min="12293" max="12293" width="25" style="1" bestFit="1" customWidth="1"/>
    <col min="12294" max="12294" width="25.6640625" style="1" bestFit="1" customWidth="1"/>
    <col min="12295" max="12295" width="15.109375" style="1" customWidth="1"/>
    <col min="12296" max="12296" width="8.77734375" style="1" customWidth="1"/>
    <col min="12297" max="12297" width="15.21875" style="1" customWidth="1"/>
    <col min="12298" max="12298" width="36.88671875" style="1" customWidth="1"/>
    <col min="12299" max="12299" width="40.6640625" style="1" customWidth="1"/>
    <col min="12300" max="12300" width="13.44140625" style="1" customWidth="1"/>
    <col min="12301" max="12301" width="3.6640625" style="1" customWidth="1"/>
    <col min="12302" max="12544" width="8.6640625" style="1"/>
    <col min="12545" max="12545" width="0.88671875" style="1" customWidth="1"/>
    <col min="12546" max="12546" width="4" style="1" customWidth="1"/>
    <col min="12547" max="12547" width="18.44140625" style="1" customWidth="1"/>
    <col min="12548" max="12548" width="19.33203125" style="1" customWidth="1"/>
    <col min="12549" max="12549" width="25" style="1" bestFit="1" customWidth="1"/>
    <col min="12550" max="12550" width="25.6640625" style="1" bestFit="1" customWidth="1"/>
    <col min="12551" max="12551" width="15.109375" style="1" customWidth="1"/>
    <col min="12552" max="12552" width="8.77734375" style="1" customWidth="1"/>
    <col min="12553" max="12553" width="15.21875" style="1" customWidth="1"/>
    <col min="12554" max="12554" width="36.88671875" style="1" customWidth="1"/>
    <col min="12555" max="12555" width="40.6640625" style="1" customWidth="1"/>
    <col min="12556" max="12556" width="13.44140625" style="1" customWidth="1"/>
    <col min="12557" max="12557" width="3.6640625" style="1" customWidth="1"/>
    <col min="12558" max="12800" width="8.6640625" style="1"/>
    <col min="12801" max="12801" width="0.88671875" style="1" customWidth="1"/>
    <col min="12802" max="12802" width="4" style="1" customWidth="1"/>
    <col min="12803" max="12803" width="18.44140625" style="1" customWidth="1"/>
    <col min="12804" max="12804" width="19.33203125" style="1" customWidth="1"/>
    <col min="12805" max="12805" width="25" style="1" bestFit="1" customWidth="1"/>
    <col min="12806" max="12806" width="25.6640625" style="1" bestFit="1" customWidth="1"/>
    <col min="12807" max="12807" width="15.109375" style="1" customWidth="1"/>
    <col min="12808" max="12808" width="8.77734375" style="1" customWidth="1"/>
    <col min="12809" max="12809" width="15.21875" style="1" customWidth="1"/>
    <col min="12810" max="12810" width="36.88671875" style="1" customWidth="1"/>
    <col min="12811" max="12811" width="40.6640625" style="1" customWidth="1"/>
    <col min="12812" max="12812" width="13.44140625" style="1" customWidth="1"/>
    <col min="12813" max="12813" width="3.6640625" style="1" customWidth="1"/>
    <col min="12814" max="13056" width="8.6640625" style="1"/>
    <col min="13057" max="13057" width="0.88671875" style="1" customWidth="1"/>
    <col min="13058" max="13058" width="4" style="1" customWidth="1"/>
    <col min="13059" max="13059" width="18.44140625" style="1" customWidth="1"/>
    <col min="13060" max="13060" width="19.33203125" style="1" customWidth="1"/>
    <col min="13061" max="13061" width="25" style="1" bestFit="1" customWidth="1"/>
    <col min="13062" max="13062" width="25.6640625" style="1" bestFit="1" customWidth="1"/>
    <col min="13063" max="13063" width="15.109375" style="1" customWidth="1"/>
    <col min="13064" max="13064" width="8.77734375" style="1" customWidth="1"/>
    <col min="13065" max="13065" width="15.21875" style="1" customWidth="1"/>
    <col min="13066" max="13066" width="36.88671875" style="1" customWidth="1"/>
    <col min="13067" max="13067" width="40.6640625" style="1" customWidth="1"/>
    <col min="13068" max="13068" width="13.44140625" style="1" customWidth="1"/>
    <col min="13069" max="13069" width="3.6640625" style="1" customWidth="1"/>
    <col min="13070" max="13312" width="8.6640625" style="1"/>
    <col min="13313" max="13313" width="0.88671875" style="1" customWidth="1"/>
    <col min="13314" max="13314" width="4" style="1" customWidth="1"/>
    <col min="13315" max="13315" width="18.44140625" style="1" customWidth="1"/>
    <col min="13316" max="13316" width="19.33203125" style="1" customWidth="1"/>
    <col min="13317" max="13317" width="25" style="1" bestFit="1" customWidth="1"/>
    <col min="13318" max="13318" width="25.6640625" style="1" bestFit="1" customWidth="1"/>
    <col min="13319" max="13319" width="15.109375" style="1" customWidth="1"/>
    <col min="13320" max="13320" width="8.77734375" style="1" customWidth="1"/>
    <col min="13321" max="13321" width="15.21875" style="1" customWidth="1"/>
    <col min="13322" max="13322" width="36.88671875" style="1" customWidth="1"/>
    <col min="13323" max="13323" width="40.6640625" style="1" customWidth="1"/>
    <col min="13324" max="13324" width="13.44140625" style="1" customWidth="1"/>
    <col min="13325" max="13325" width="3.6640625" style="1" customWidth="1"/>
    <col min="13326" max="13568" width="8.6640625" style="1"/>
    <col min="13569" max="13569" width="0.88671875" style="1" customWidth="1"/>
    <col min="13570" max="13570" width="4" style="1" customWidth="1"/>
    <col min="13571" max="13571" width="18.44140625" style="1" customWidth="1"/>
    <col min="13572" max="13572" width="19.33203125" style="1" customWidth="1"/>
    <col min="13573" max="13573" width="25" style="1" bestFit="1" customWidth="1"/>
    <col min="13574" max="13574" width="25.6640625" style="1" bestFit="1" customWidth="1"/>
    <col min="13575" max="13575" width="15.109375" style="1" customWidth="1"/>
    <col min="13576" max="13576" width="8.77734375" style="1" customWidth="1"/>
    <col min="13577" max="13577" width="15.21875" style="1" customWidth="1"/>
    <col min="13578" max="13578" width="36.88671875" style="1" customWidth="1"/>
    <col min="13579" max="13579" width="40.6640625" style="1" customWidth="1"/>
    <col min="13580" max="13580" width="13.44140625" style="1" customWidth="1"/>
    <col min="13581" max="13581" width="3.6640625" style="1" customWidth="1"/>
    <col min="13582" max="13824" width="8.6640625" style="1"/>
    <col min="13825" max="13825" width="0.88671875" style="1" customWidth="1"/>
    <col min="13826" max="13826" width="4" style="1" customWidth="1"/>
    <col min="13827" max="13827" width="18.44140625" style="1" customWidth="1"/>
    <col min="13828" max="13828" width="19.33203125" style="1" customWidth="1"/>
    <col min="13829" max="13829" width="25" style="1" bestFit="1" customWidth="1"/>
    <col min="13830" max="13830" width="25.6640625" style="1" bestFit="1" customWidth="1"/>
    <col min="13831" max="13831" width="15.109375" style="1" customWidth="1"/>
    <col min="13832" max="13832" width="8.77734375" style="1" customWidth="1"/>
    <col min="13833" max="13833" width="15.21875" style="1" customWidth="1"/>
    <col min="13834" max="13834" width="36.88671875" style="1" customWidth="1"/>
    <col min="13835" max="13835" width="40.6640625" style="1" customWidth="1"/>
    <col min="13836" max="13836" width="13.44140625" style="1" customWidth="1"/>
    <col min="13837" max="13837" width="3.6640625" style="1" customWidth="1"/>
    <col min="13838" max="14080" width="8.6640625" style="1"/>
    <col min="14081" max="14081" width="0.88671875" style="1" customWidth="1"/>
    <col min="14082" max="14082" width="4" style="1" customWidth="1"/>
    <col min="14083" max="14083" width="18.44140625" style="1" customWidth="1"/>
    <col min="14084" max="14084" width="19.33203125" style="1" customWidth="1"/>
    <col min="14085" max="14085" width="25" style="1" bestFit="1" customWidth="1"/>
    <col min="14086" max="14086" width="25.6640625" style="1" bestFit="1" customWidth="1"/>
    <col min="14087" max="14087" width="15.109375" style="1" customWidth="1"/>
    <col min="14088" max="14088" width="8.77734375" style="1" customWidth="1"/>
    <col min="14089" max="14089" width="15.21875" style="1" customWidth="1"/>
    <col min="14090" max="14090" width="36.88671875" style="1" customWidth="1"/>
    <col min="14091" max="14091" width="40.6640625" style="1" customWidth="1"/>
    <col min="14092" max="14092" width="13.44140625" style="1" customWidth="1"/>
    <col min="14093" max="14093" width="3.6640625" style="1" customWidth="1"/>
    <col min="14094" max="14336" width="8.6640625" style="1"/>
    <col min="14337" max="14337" width="0.88671875" style="1" customWidth="1"/>
    <col min="14338" max="14338" width="4" style="1" customWidth="1"/>
    <col min="14339" max="14339" width="18.44140625" style="1" customWidth="1"/>
    <col min="14340" max="14340" width="19.33203125" style="1" customWidth="1"/>
    <col min="14341" max="14341" width="25" style="1" bestFit="1" customWidth="1"/>
    <col min="14342" max="14342" width="25.6640625" style="1" bestFit="1" customWidth="1"/>
    <col min="14343" max="14343" width="15.109375" style="1" customWidth="1"/>
    <col min="14344" max="14344" width="8.77734375" style="1" customWidth="1"/>
    <col min="14345" max="14345" width="15.21875" style="1" customWidth="1"/>
    <col min="14346" max="14346" width="36.88671875" style="1" customWidth="1"/>
    <col min="14347" max="14347" width="40.6640625" style="1" customWidth="1"/>
    <col min="14348" max="14348" width="13.44140625" style="1" customWidth="1"/>
    <col min="14349" max="14349" width="3.6640625" style="1" customWidth="1"/>
    <col min="14350" max="14592" width="8.6640625" style="1"/>
    <col min="14593" max="14593" width="0.88671875" style="1" customWidth="1"/>
    <col min="14594" max="14594" width="4" style="1" customWidth="1"/>
    <col min="14595" max="14595" width="18.44140625" style="1" customWidth="1"/>
    <col min="14596" max="14596" width="19.33203125" style="1" customWidth="1"/>
    <col min="14597" max="14597" width="25" style="1" bestFit="1" customWidth="1"/>
    <col min="14598" max="14598" width="25.6640625" style="1" bestFit="1" customWidth="1"/>
    <col min="14599" max="14599" width="15.109375" style="1" customWidth="1"/>
    <col min="14600" max="14600" width="8.77734375" style="1" customWidth="1"/>
    <col min="14601" max="14601" width="15.21875" style="1" customWidth="1"/>
    <col min="14602" max="14602" width="36.88671875" style="1" customWidth="1"/>
    <col min="14603" max="14603" width="40.6640625" style="1" customWidth="1"/>
    <col min="14604" max="14604" width="13.44140625" style="1" customWidth="1"/>
    <col min="14605" max="14605" width="3.6640625" style="1" customWidth="1"/>
    <col min="14606" max="14848" width="8.6640625" style="1"/>
    <col min="14849" max="14849" width="0.88671875" style="1" customWidth="1"/>
    <col min="14850" max="14850" width="4" style="1" customWidth="1"/>
    <col min="14851" max="14851" width="18.44140625" style="1" customWidth="1"/>
    <col min="14852" max="14852" width="19.33203125" style="1" customWidth="1"/>
    <col min="14853" max="14853" width="25" style="1" bestFit="1" customWidth="1"/>
    <col min="14854" max="14854" width="25.6640625" style="1" bestFit="1" customWidth="1"/>
    <col min="14855" max="14855" width="15.109375" style="1" customWidth="1"/>
    <col min="14856" max="14856" width="8.77734375" style="1" customWidth="1"/>
    <col min="14857" max="14857" width="15.21875" style="1" customWidth="1"/>
    <col min="14858" max="14858" width="36.88671875" style="1" customWidth="1"/>
    <col min="14859" max="14859" width="40.6640625" style="1" customWidth="1"/>
    <col min="14860" max="14860" width="13.44140625" style="1" customWidth="1"/>
    <col min="14861" max="14861" width="3.6640625" style="1" customWidth="1"/>
    <col min="14862" max="15104" width="8.6640625" style="1"/>
    <col min="15105" max="15105" width="0.88671875" style="1" customWidth="1"/>
    <col min="15106" max="15106" width="4" style="1" customWidth="1"/>
    <col min="15107" max="15107" width="18.44140625" style="1" customWidth="1"/>
    <col min="15108" max="15108" width="19.33203125" style="1" customWidth="1"/>
    <col min="15109" max="15109" width="25" style="1" bestFit="1" customWidth="1"/>
    <col min="15110" max="15110" width="25.6640625" style="1" bestFit="1" customWidth="1"/>
    <col min="15111" max="15111" width="15.109375" style="1" customWidth="1"/>
    <col min="15112" max="15112" width="8.77734375" style="1" customWidth="1"/>
    <col min="15113" max="15113" width="15.21875" style="1" customWidth="1"/>
    <col min="15114" max="15114" width="36.88671875" style="1" customWidth="1"/>
    <col min="15115" max="15115" width="40.6640625" style="1" customWidth="1"/>
    <col min="15116" max="15116" width="13.44140625" style="1" customWidth="1"/>
    <col min="15117" max="15117" width="3.6640625" style="1" customWidth="1"/>
    <col min="15118" max="15360" width="8.6640625" style="1"/>
    <col min="15361" max="15361" width="0.88671875" style="1" customWidth="1"/>
    <col min="15362" max="15362" width="4" style="1" customWidth="1"/>
    <col min="15363" max="15363" width="18.44140625" style="1" customWidth="1"/>
    <col min="15364" max="15364" width="19.33203125" style="1" customWidth="1"/>
    <col min="15365" max="15365" width="25" style="1" bestFit="1" customWidth="1"/>
    <col min="15366" max="15366" width="25.6640625" style="1" bestFit="1" customWidth="1"/>
    <col min="15367" max="15367" width="15.109375" style="1" customWidth="1"/>
    <col min="15368" max="15368" width="8.77734375" style="1" customWidth="1"/>
    <col min="15369" max="15369" width="15.21875" style="1" customWidth="1"/>
    <col min="15370" max="15370" width="36.88671875" style="1" customWidth="1"/>
    <col min="15371" max="15371" width="40.6640625" style="1" customWidth="1"/>
    <col min="15372" max="15372" width="13.44140625" style="1" customWidth="1"/>
    <col min="15373" max="15373" width="3.6640625" style="1" customWidth="1"/>
    <col min="15374" max="15616" width="8.6640625" style="1"/>
    <col min="15617" max="15617" width="0.88671875" style="1" customWidth="1"/>
    <col min="15618" max="15618" width="4" style="1" customWidth="1"/>
    <col min="15619" max="15619" width="18.44140625" style="1" customWidth="1"/>
    <col min="15620" max="15620" width="19.33203125" style="1" customWidth="1"/>
    <col min="15621" max="15621" width="25" style="1" bestFit="1" customWidth="1"/>
    <col min="15622" max="15622" width="25.6640625" style="1" bestFit="1" customWidth="1"/>
    <col min="15623" max="15623" width="15.109375" style="1" customWidth="1"/>
    <col min="15624" max="15624" width="8.77734375" style="1" customWidth="1"/>
    <col min="15625" max="15625" width="15.21875" style="1" customWidth="1"/>
    <col min="15626" max="15626" width="36.88671875" style="1" customWidth="1"/>
    <col min="15627" max="15627" width="40.6640625" style="1" customWidth="1"/>
    <col min="15628" max="15628" width="13.44140625" style="1" customWidth="1"/>
    <col min="15629" max="15629" width="3.6640625" style="1" customWidth="1"/>
    <col min="15630" max="15872" width="8.6640625" style="1"/>
    <col min="15873" max="15873" width="0.88671875" style="1" customWidth="1"/>
    <col min="15874" max="15874" width="4" style="1" customWidth="1"/>
    <col min="15875" max="15875" width="18.44140625" style="1" customWidth="1"/>
    <col min="15876" max="15876" width="19.33203125" style="1" customWidth="1"/>
    <col min="15877" max="15877" width="25" style="1" bestFit="1" customWidth="1"/>
    <col min="15878" max="15878" width="25.6640625" style="1" bestFit="1" customWidth="1"/>
    <col min="15879" max="15879" width="15.109375" style="1" customWidth="1"/>
    <col min="15880" max="15880" width="8.77734375" style="1" customWidth="1"/>
    <col min="15881" max="15881" width="15.21875" style="1" customWidth="1"/>
    <col min="15882" max="15882" width="36.88671875" style="1" customWidth="1"/>
    <col min="15883" max="15883" width="40.6640625" style="1" customWidth="1"/>
    <col min="15884" max="15884" width="13.44140625" style="1" customWidth="1"/>
    <col min="15885" max="15885" width="3.6640625" style="1" customWidth="1"/>
    <col min="15886" max="16128" width="8.6640625" style="1"/>
    <col min="16129" max="16129" width="0.88671875" style="1" customWidth="1"/>
    <col min="16130" max="16130" width="4" style="1" customWidth="1"/>
    <col min="16131" max="16131" width="18.44140625" style="1" customWidth="1"/>
    <col min="16132" max="16132" width="19.33203125" style="1" customWidth="1"/>
    <col min="16133" max="16133" width="25" style="1" bestFit="1" customWidth="1"/>
    <col min="16134" max="16134" width="25.6640625" style="1" bestFit="1" customWidth="1"/>
    <col min="16135" max="16135" width="15.109375" style="1" customWidth="1"/>
    <col min="16136" max="16136" width="8.77734375" style="1" customWidth="1"/>
    <col min="16137" max="16137" width="15.21875" style="1" customWidth="1"/>
    <col min="16138" max="16138" width="36.88671875" style="1" customWidth="1"/>
    <col min="16139" max="16139" width="40.6640625" style="1" customWidth="1"/>
    <col min="16140" max="16140" width="13.44140625" style="1" customWidth="1"/>
    <col min="16141" max="16141" width="3.6640625" style="1" customWidth="1"/>
    <col min="16142" max="16384" width="8.6640625" style="1"/>
  </cols>
  <sheetData>
    <row r="1" spans="2:15" ht="6" customHeight="1" x14ac:dyDescent="0.2">
      <c r="B1" s="2"/>
    </row>
    <row r="2" spans="2:15" ht="6" customHeight="1" x14ac:dyDescent="0.2">
      <c r="B2" s="2"/>
    </row>
    <row r="3" spans="2:15" ht="7.5" customHeight="1" x14ac:dyDescent="0.2">
      <c r="B3" s="2"/>
    </row>
    <row r="4" spans="2:15" s="4" customFormat="1" ht="45" customHeight="1" x14ac:dyDescent="0.2"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53</v>
      </c>
      <c r="H4" s="6" t="s">
        <v>52</v>
      </c>
      <c r="I4" s="6" t="s">
        <v>5</v>
      </c>
      <c r="J4" s="6" t="s">
        <v>6</v>
      </c>
      <c r="K4" s="6" t="s">
        <v>7</v>
      </c>
      <c r="L4" s="7" t="s">
        <v>8</v>
      </c>
      <c r="M4" s="7" t="s">
        <v>102</v>
      </c>
      <c r="N4" s="7" t="s">
        <v>155</v>
      </c>
      <c r="O4" s="52" t="s">
        <v>173</v>
      </c>
    </row>
    <row r="5" spans="2:15" ht="80.55" customHeight="1" x14ac:dyDescent="0.2">
      <c r="B5" s="8">
        <f t="shared" ref="B5:B47" si="0">ROW()-ROW($B$4)</f>
        <v>1</v>
      </c>
      <c r="C5" s="14" t="s">
        <v>54</v>
      </c>
      <c r="D5" s="14" t="s">
        <v>55</v>
      </c>
      <c r="E5" s="14" t="s">
        <v>75</v>
      </c>
      <c r="F5" s="14" t="s">
        <v>59</v>
      </c>
      <c r="G5" s="9" t="s">
        <v>11</v>
      </c>
      <c r="H5" s="9" t="s">
        <v>11</v>
      </c>
      <c r="I5" s="14" t="s">
        <v>56</v>
      </c>
      <c r="J5" s="14" t="s">
        <v>168</v>
      </c>
      <c r="K5" s="14" t="s">
        <v>61</v>
      </c>
      <c r="L5" s="9" t="s">
        <v>11</v>
      </c>
      <c r="M5" s="48" t="s">
        <v>175</v>
      </c>
      <c r="N5" s="50"/>
      <c r="O5" s="49" t="s">
        <v>174</v>
      </c>
    </row>
    <row r="6" spans="2:15" ht="45" customHeight="1" x14ac:dyDescent="0.2">
      <c r="B6" s="8">
        <f t="shared" si="0"/>
        <v>2</v>
      </c>
      <c r="C6" s="13" t="str">
        <f t="shared" ref="C6:F25" ca="1" si="1">INDIRECT(ADDRESS(ROW()-1,COLUMN()))</f>
        <v>設計積算機能</v>
      </c>
      <c r="D6" s="13" t="str">
        <f t="shared" ca="1" si="1"/>
        <v>基準予算（鑑）画面</v>
      </c>
      <c r="E6" s="13" t="str">
        <f t="shared" ca="1" si="1"/>
        <v>基準入力エリア</v>
      </c>
      <c r="F6" s="13" t="str">
        <f t="shared" ca="1" si="1"/>
        <v>アイテム区分リストボックス</v>
      </c>
      <c r="G6" s="9" t="s">
        <v>11</v>
      </c>
      <c r="H6" s="9" t="s">
        <v>11</v>
      </c>
      <c r="I6" s="14" t="s">
        <v>57</v>
      </c>
      <c r="J6" s="14" t="s">
        <v>166</v>
      </c>
      <c r="K6" s="9" t="s">
        <v>58</v>
      </c>
      <c r="L6" s="9" t="s">
        <v>11</v>
      </c>
      <c r="M6" s="48" t="s">
        <v>175</v>
      </c>
      <c r="N6" s="50"/>
      <c r="O6" s="49" t="s">
        <v>177</v>
      </c>
    </row>
    <row r="7" spans="2:15" ht="45" customHeight="1" x14ac:dyDescent="0.2">
      <c r="B7" s="8">
        <f t="shared" si="0"/>
        <v>3</v>
      </c>
      <c r="C7" s="13" t="str">
        <f t="shared" ca="1" si="1"/>
        <v>設計積算機能</v>
      </c>
      <c r="D7" s="13" t="str">
        <f t="shared" ca="1" si="1"/>
        <v>基準予算（鑑）画面</v>
      </c>
      <c r="E7" s="13" t="str">
        <f t="shared" ca="1" si="1"/>
        <v>基準入力エリア</v>
      </c>
      <c r="F7" s="44" t="s">
        <v>60</v>
      </c>
      <c r="G7" s="9" t="s">
        <v>11</v>
      </c>
      <c r="H7" s="9" t="s">
        <v>11</v>
      </c>
      <c r="I7" s="14" t="s">
        <v>57</v>
      </c>
      <c r="J7" s="14" t="s">
        <v>166</v>
      </c>
      <c r="K7" s="9" t="s">
        <v>62</v>
      </c>
      <c r="L7" s="9" t="s">
        <v>11</v>
      </c>
      <c r="M7" s="48" t="s">
        <v>175</v>
      </c>
      <c r="N7" s="50"/>
      <c r="O7" s="49" t="s">
        <v>179</v>
      </c>
    </row>
    <row r="8" spans="2:15" ht="51" customHeight="1" x14ac:dyDescent="0.2">
      <c r="B8" s="8">
        <f t="shared" si="0"/>
        <v>4</v>
      </c>
      <c r="C8" s="13" t="str">
        <f t="shared" ca="1" si="1"/>
        <v>設計積算機能</v>
      </c>
      <c r="D8" s="13" t="str">
        <f t="shared" ca="1" si="1"/>
        <v>基準予算（鑑）画面</v>
      </c>
      <c r="E8" s="13" t="str">
        <f t="shared" ca="1" si="1"/>
        <v>基準入力エリア</v>
      </c>
      <c r="F8" s="44" t="s">
        <v>63</v>
      </c>
      <c r="G8" s="9" t="s">
        <v>11</v>
      </c>
      <c r="H8" s="9" t="s">
        <v>11</v>
      </c>
      <c r="I8" s="14" t="s">
        <v>57</v>
      </c>
      <c r="J8" s="14" t="s">
        <v>166</v>
      </c>
      <c r="K8" s="9" t="s">
        <v>67</v>
      </c>
      <c r="L8" s="9" t="s">
        <v>11</v>
      </c>
      <c r="M8" s="48" t="s">
        <v>175</v>
      </c>
      <c r="N8" s="50"/>
      <c r="O8" s="49" t="s">
        <v>180</v>
      </c>
    </row>
    <row r="9" spans="2:15" ht="51" customHeight="1" x14ac:dyDescent="0.2">
      <c r="B9" s="8">
        <f t="shared" si="0"/>
        <v>5</v>
      </c>
      <c r="C9" s="13" t="str">
        <f t="shared" ca="1" si="1"/>
        <v>設計積算機能</v>
      </c>
      <c r="D9" s="13" t="str">
        <f t="shared" ca="1" si="1"/>
        <v>基準予算（鑑）画面</v>
      </c>
      <c r="E9" s="13" t="str">
        <f t="shared" ca="1" si="1"/>
        <v>基準入力エリア</v>
      </c>
      <c r="F9" s="44" t="s">
        <v>64</v>
      </c>
      <c r="G9" s="9" t="s">
        <v>11</v>
      </c>
      <c r="H9" s="9" t="s">
        <v>11</v>
      </c>
      <c r="I9" s="14" t="s">
        <v>57</v>
      </c>
      <c r="J9" s="14" t="s">
        <v>166</v>
      </c>
      <c r="K9" s="9" t="s">
        <v>68</v>
      </c>
      <c r="L9" s="9" t="s">
        <v>11</v>
      </c>
      <c r="M9" s="48" t="s">
        <v>175</v>
      </c>
      <c r="N9" s="50"/>
      <c r="O9" s="49" t="s">
        <v>181</v>
      </c>
    </row>
    <row r="10" spans="2:15" ht="51" customHeight="1" x14ac:dyDescent="0.2">
      <c r="B10" s="8">
        <f t="shared" si="0"/>
        <v>6</v>
      </c>
      <c r="C10" s="13" t="str">
        <f t="shared" ca="1" si="1"/>
        <v>設計積算機能</v>
      </c>
      <c r="D10" s="13" t="str">
        <f t="shared" ca="1" si="1"/>
        <v>基準予算（鑑）画面</v>
      </c>
      <c r="E10" s="13" t="str">
        <f t="shared" ca="1" si="1"/>
        <v>基準入力エリア</v>
      </c>
      <c r="F10" s="44" t="s">
        <v>65</v>
      </c>
      <c r="G10" s="9" t="s">
        <v>11</v>
      </c>
      <c r="H10" s="9" t="s">
        <v>11</v>
      </c>
      <c r="I10" s="14" t="s">
        <v>57</v>
      </c>
      <c r="J10" s="14" t="s">
        <v>166</v>
      </c>
      <c r="K10" s="9" t="s">
        <v>76</v>
      </c>
      <c r="L10" s="9" t="s">
        <v>11</v>
      </c>
      <c r="M10" s="48" t="s">
        <v>175</v>
      </c>
      <c r="N10" s="50"/>
      <c r="O10" s="49" t="s">
        <v>182</v>
      </c>
    </row>
    <row r="11" spans="2:15" ht="49.95" customHeight="1" x14ac:dyDescent="0.2">
      <c r="B11" s="8">
        <f t="shared" si="0"/>
        <v>7</v>
      </c>
      <c r="C11" s="13" t="str">
        <f t="shared" ca="1" si="1"/>
        <v>設計積算機能</v>
      </c>
      <c r="D11" s="13" t="str">
        <f t="shared" ca="1" si="1"/>
        <v>基準予算（鑑）画面</v>
      </c>
      <c r="E11" s="13" t="str">
        <f t="shared" ca="1" si="1"/>
        <v>基準入力エリア</v>
      </c>
      <c r="F11" s="44" t="s">
        <v>66</v>
      </c>
      <c r="G11" s="9" t="s">
        <v>11</v>
      </c>
      <c r="H11" s="9" t="s">
        <v>11</v>
      </c>
      <c r="I11" s="14" t="s">
        <v>57</v>
      </c>
      <c r="J11" s="14" t="s">
        <v>166</v>
      </c>
      <c r="K11" s="9" t="s">
        <v>77</v>
      </c>
      <c r="L11" s="9" t="s">
        <v>11</v>
      </c>
      <c r="M11" s="48" t="s">
        <v>178</v>
      </c>
      <c r="N11" s="50">
        <v>1</v>
      </c>
      <c r="O11" s="49" t="s">
        <v>202</v>
      </c>
    </row>
    <row r="12" spans="2:15" ht="49.95" customHeight="1" x14ac:dyDescent="0.2">
      <c r="B12" s="8">
        <f t="shared" si="0"/>
        <v>8</v>
      </c>
      <c r="C12" s="13" t="str">
        <f t="shared" ca="1" si="1"/>
        <v>設計積算機能</v>
      </c>
      <c r="D12" s="13" t="str">
        <f t="shared" ca="1" si="1"/>
        <v>基準予算（鑑）画面</v>
      </c>
      <c r="E12" s="13" t="str">
        <f t="shared" ca="1" si="1"/>
        <v>基準入力エリア</v>
      </c>
      <c r="F12" s="44" t="s">
        <v>69</v>
      </c>
      <c r="G12" s="9" t="s">
        <v>11</v>
      </c>
      <c r="H12" s="9" t="s">
        <v>11</v>
      </c>
      <c r="I12" s="14" t="s">
        <v>57</v>
      </c>
      <c r="J12" s="14" t="s">
        <v>166</v>
      </c>
      <c r="K12" s="9" t="s">
        <v>73</v>
      </c>
      <c r="L12" s="9" t="s">
        <v>11</v>
      </c>
      <c r="M12" s="48" t="s">
        <v>175</v>
      </c>
      <c r="N12" s="50"/>
      <c r="O12" s="49" t="s">
        <v>183</v>
      </c>
    </row>
    <row r="13" spans="2:15" ht="49.95" customHeight="1" x14ac:dyDescent="0.2">
      <c r="B13" s="8">
        <f t="shared" si="0"/>
        <v>9</v>
      </c>
      <c r="C13" s="13" t="str">
        <f t="shared" ca="1" si="1"/>
        <v>設計積算機能</v>
      </c>
      <c r="D13" s="13" t="str">
        <f t="shared" ca="1" si="1"/>
        <v>基準予算（鑑）画面</v>
      </c>
      <c r="E13" s="13" t="str">
        <f t="shared" ca="1" si="1"/>
        <v>基準入力エリア</v>
      </c>
      <c r="F13" s="44" t="s">
        <v>70</v>
      </c>
      <c r="G13" s="9" t="s">
        <v>11</v>
      </c>
      <c r="H13" s="9" t="s">
        <v>11</v>
      </c>
      <c r="I13" s="14" t="s">
        <v>57</v>
      </c>
      <c r="J13" s="14" t="s">
        <v>166</v>
      </c>
      <c r="K13" s="9" t="s">
        <v>74</v>
      </c>
      <c r="L13" s="9" t="s">
        <v>11</v>
      </c>
      <c r="M13" s="48" t="s">
        <v>175</v>
      </c>
      <c r="N13" s="50"/>
      <c r="O13" s="49" t="s">
        <v>184</v>
      </c>
    </row>
    <row r="14" spans="2:15" ht="49.95" customHeight="1" x14ac:dyDescent="0.2">
      <c r="B14" s="8">
        <f t="shared" si="0"/>
        <v>10</v>
      </c>
      <c r="C14" s="13" t="str">
        <f t="shared" ca="1" si="1"/>
        <v>設計積算機能</v>
      </c>
      <c r="D14" s="13" t="str">
        <f t="shared" ca="1" si="1"/>
        <v>基準予算（鑑）画面</v>
      </c>
      <c r="E14" s="13" t="str">
        <f t="shared" ca="1" si="1"/>
        <v>基準入力エリア</v>
      </c>
      <c r="F14" s="44" t="s">
        <v>71</v>
      </c>
      <c r="G14" s="9" t="s">
        <v>11</v>
      </c>
      <c r="H14" s="9" t="s">
        <v>11</v>
      </c>
      <c r="I14" s="14" t="s">
        <v>57</v>
      </c>
      <c r="J14" s="14" t="s">
        <v>166</v>
      </c>
      <c r="K14" s="9" t="s">
        <v>162</v>
      </c>
      <c r="L14" s="9" t="s">
        <v>11</v>
      </c>
      <c r="M14" s="48" t="s">
        <v>175</v>
      </c>
      <c r="N14" s="50"/>
      <c r="O14" s="49" t="s">
        <v>185</v>
      </c>
    </row>
    <row r="15" spans="2:15" ht="49.95" customHeight="1" x14ac:dyDescent="0.2">
      <c r="B15" s="8">
        <f t="shared" si="0"/>
        <v>11</v>
      </c>
      <c r="C15" s="13" t="str">
        <f t="shared" ca="1" si="1"/>
        <v>設計積算機能</v>
      </c>
      <c r="D15" s="13" t="str">
        <f t="shared" ca="1" si="1"/>
        <v>基準予算（鑑）画面</v>
      </c>
      <c r="E15" s="13" t="str">
        <f t="shared" ca="1" si="1"/>
        <v>基準入力エリア</v>
      </c>
      <c r="F15" s="44" t="s">
        <v>72</v>
      </c>
      <c r="G15" s="9" t="s">
        <v>11</v>
      </c>
      <c r="H15" s="9" t="s">
        <v>11</v>
      </c>
      <c r="I15" s="14" t="s">
        <v>57</v>
      </c>
      <c r="J15" s="14" t="s">
        <v>166</v>
      </c>
      <c r="K15" s="9" t="s">
        <v>78</v>
      </c>
      <c r="L15" s="9" t="s">
        <v>11</v>
      </c>
      <c r="M15" s="48" t="s">
        <v>175</v>
      </c>
      <c r="N15" s="50"/>
      <c r="O15" s="49" t="s">
        <v>186</v>
      </c>
    </row>
    <row r="16" spans="2:15" ht="45" customHeight="1" x14ac:dyDescent="0.2">
      <c r="B16" s="8">
        <f t="shared" si="0"/>
        <v>12</v>
      </c>
      <c r="C16" s="13" t="str">
        <f t="shared" ca="1" si="1"/>
        <v>設計積算機能</v>
      </c>
      <c r="D16" s="13" t="str">
        <f t="shared" ca="1" si="1"/>
        <v>基準予算（鑑）画面</v>
      </c>
      <c r="E16" s="44" t="s">
        <v>79</v>
      </c>
      <c r="F16" s="44" t="s">
        <v>80</v>
      </c>
      <c r="G16" s="9" t="s">
        <v>11</v>
      </c>
      <c r="H16" s="9" t="s">
        <v>11</v>
      </c>
      <c r="I16" s="14" t="s">
        <v>83</v>
      </c>
      <c r="J16" s="14" t="s">
        <v>167</v>
      </c>
      <c r="K16" s="9" t="s">
        <v>81</v>
      </c>
      <c r="L16" s="9" t="s">
        <v>11</v>
      </c>
      <c r="M16" s="48" t="s">
        <v>176</v>
      </c>
      <c r="N16" s="50">
        <v>2</v>
      </c>
      <c r="O16" s="49" t="s">
        <v>188</v>
      </c>
    </row>
    <row r="17" spans="2:15" ht="45" customHeight="1" x14ac:dyDescent="0.2">
      <c r="B17" s="8">
        <f t="shared" si="0"/>
        <v>13</v>
      </c>
      <c r="C17" s="13" t="str">
        <f t="shared" ca="1" si="1"/>
        <v>設計積算機能</v>
      </c>
      <c r="D17" s="13" t="str">
        <f t="shared" ca="1" si="1"/>
        <v>基準予算（鑑）画面</v>
      </c>
      <c r="E17" s="13" t="str">
        <f t="shared" ca="1" si="1"/>
        <v>予算一覧エリア</v>
      </c>
      <c r="F17" s="13" t="str">
        <f t="shared" ca="1" si="1"/>
        <v>A 工番金額(税抜)</v>
      </c>
      <c r="G17" s="9" t="s">
        <v>11</v>
      </c>
      <c r="H17" s="9" t="s">
        <v>11</v>
      </c>
      <c r="I17" s="14" t="s">
        <v>84</v>
      </c>
      <c r="J17" s="14" t="s">
        <v>167</v>
      </c>
      <c r="K17" s="9" t="s">
        <v>161</v>
      </c>
      <c r="L17" s="9" t="s">
        <v>11</v>
      </c>
      <c r="M17" s="48" t="s">
        <v>178</v>
      </c>
      <c r="N17" s="50" t="s">
        <v>204</v>
      </c>
      <c r="O17" s="49" t="s">
        <v>203</v>
      </c>
    </row>
    <row r="18" spans="2:15" ht="60" customHeight="1" x14ac:dyDescent="0.2">
      <c r="B18" s="8">
        <f t="shared" si="0"/>
        <v>14</v>
      </c>
      <c r="C18" s="13" t="str">
        <f t="shared" ca="1" si="1"/>
        <v>設計積算機能</v>
      </c>
      <c r="D18" s="13" t="str">
        <f t="shared" ca="1" si="1"/>
        <v>基準予算（鑑）画面</v>
      </c>
      <c r="E18" s="13" t="str">
        <f t="shared" ca="1" si="1"/>
        <v>予算一覧エリア</v>
      </c>
      <c r="F18" s="44" t="s">
        <v>82</v>
      </c>
      <c r="G18" s="9" t="s">
        <v>11</v>
      </c>
      <c r="H18" s="9" t="s">
        <v>11</v>
      </c>
      <c r="I18" s="14" t="s">
        <v>83</v>
      </c>
      <c r="J18" s="14" t="s">
        <v>167</v>
      </c>
      <c r="K18" s="9" t="s">
        <v>81</v>
      </c>
      <c r="L18" s="9" t="s">
        <v>11</v>
      </c>
      <c r="M18" s="48" t="s">
        <v>175</v>
      </c>
      <c r="N18" s="50"/>
      <c r="O18" s="49" t="s">
        <v>187</v>
      </c>
    </row>
    <row r="19" spans="2:15" ht="45" customHeight="1" x14ac:dyDescent="0.2">
      <c r="B19" s="8">
        <f t="shared" si="0"/>
        <v>15</v>
      </c>
      <c r="C19" s="13" t="str">
        <f t="shared" ca="1" si="1"/>
        <v>設計積算機能</v>
      </c>
      <c r="D19" s="13" t="str">
        <f t="shared" ca="1" si="1"/>
        <v>基準予算（鑑）画面</v>
      </c>
      <c r="E19" s="13" t="str">
        <f t="shared" ca="1" si="1"/>
        <v>予算一覧エリア</v>
      </c>
      <c r="F19" s="13" t="str">
        <f t="shared" ca="1" si="1"/>
        <v>機器・工事費</v>
      </c>
      <c r="G19" s="9" t="s">
        <v>11</v>
      </c>
      <c r="H19" s="9" t="s">
        <v>11</v>
      </c>
      <c r="I19" s="14" t="s">
        <v>84</v>
      </c>
      <c r="J19" s="14" t="s">
        <v>167</v>
      </c>
      <c r="K19" s="9" t="s">
        <v>161</v>
      </c>
      <c r="L19" s="9" t="s">
        <v>11</v>
      </c>
      <c r="M19" s="48" t="s">
        <v>175</v>
      </c>
      <c r="N19" s="50"/>
      <c r="O19" s="49" t="s">
        <v>191</v>
      </c>
    </row>
    <row r="20" spans="2:15" ht="45" customHeight="1" x14ac:dyDescent="0.2">
      <c r="B20" s="8">
        <f t="shared" si="0"/>
        <v>16</v>
      </c>
      <c r="C20" s="13" t="str">
        <f t="shared" ca="1" si="1"/>
        <v>設計積算機能</v>
      </c>
      <c r="D20" s="13" t="str">
        <f t="shared" ca="1" si="1"/>
        <v>基準予算（鑑）画面</v>
      </c>
      <c r="E20" s="13" t="str">
        <f t="shared" ca="1" si="1"/>
        <v>予算一覧エリア</v>
      </c>
      <c r="F20" s="44" t="s">
        <v>85</v>
      </c>
      <c r="G20" s="9" t="s">
        <v>11</v>
      </c>
      <c r="H20" s="9" t="s">
        <v>11</v>
      </c>
      <c r="I20" s="14" t="s">
        <v>83</v>
      </c>
      <c r="J20" s="14" t="s">
        <v>167</v>
      </c>
      <c r="K20" s="9" t="s">
        <v>81</v>
      </c>
      <c r="L20" s="9" t="s">
        <v>11</v>
      </c>
      <c r="M20" s="48" t="s">
        <v>175</v>
      </c>
      <c r="N20" s="50"/>
      <c r="O20" s="49" t="s">
        <v>187</v>
      </c>
    </row>
    <row r="21" spans="2:15" ht="45" customHeight="1" x14ac:dyDescent="0.2">
      <c r="B21" s="8">
        <f t="shared" si="0"/>
        <v>17</v>
      </c>
      <c r="C21" s="13" t="str">
        <f t="shared" ca="1" si="1"/>
        <v>設計積算機能</v>
      </c>
      <c r="D21" s="13" t="str">
        <f t="shared" ca="1" si="1"/>
        <v>基準予算（鑑）画面</v>
      </c>
      <c r="E21" s="13" t="str">
        <f t="shared" ca="1" si="1"/>
        <v>予算一覧エリア</v>
      </c>
      <c r="F21" s="13" t="str">
        <f t="shared" ca="1" si="1"/>
        <v>直接経費他</v>
      </c>
      <c r="G21" s="9" t="s">
        <v>11</v>
      </c>
      <c r="H21" s="9" t="s">
        <v>11</v>
      </c>
      <c r="I21" s="14" t="s">
        <v>84</v>
      </c>
      <c r="J21" s="14" t="s">
        <v>167</v>
      </c>
      <c r="K21" s="9" t="s">
        <v>161</v>
      </c>
      <c r="L21" s="9" t="s">
        <v>11</v>
      </c>
      <c r="M21" s="48" t="s">
        <v>175</v>
      </c>
      <c r="N21" s="50"/>
      <c r="O21" s="49" t="s">
        <v>191</v>
      </c>
    </row>
    <row r="22" spans="2:15" ht="45" customHeight="1" x14ac:dyDescent="0.2">
      <c r="B22" s="8">
        <f t="shared" si="0"/>
        <v>18</v>
      </c>
      <c r="C22" s="13" t="str">
        <f t="shared" ca="1" si="1"/>
        <v>設計積算機能</v>
      </c>
      <c r="D22" s="13" t="str">
        <f t="shared" ca="1" si="1"/>
        <v>基準予算（鑑）画面</v>
      </c>
      <c r="E22" s="13" t="str">
        <f t="shared" ca="1" si="1"/>
        <v>予算一覧エリア</v>
      </c>
      <c r="F22" s="44" t="s">
        <v>86</v>
      </c>
      <c r="G22" s="9" t="s">
        <v>11</v>
      </c>
      <c r="H22" s="9" t="s">
        <v>11</v>
      </c>
      <c r="I22" s="14" t="s">
        <v>83</v>
      </c>
      <c r="J22" s="14" t="s">
        <v>167</v>
      </c>
      <c r="K22" s="9" t="s">
        <v>81</v>
      </c>
      <c r="L22" s="9" t="s">
        <v>11</v>
      </c>
      <c r="M22" s="48" t="s">
        <v>175</v>
      </c>
      <c r="N22" s="50"/>
      <c r="O22" s="49" t="s">
        <v>187</v>
      </c>
    </row>
    <row r="23" spans="2:15" ht="45" customHeight="1" x14ac:dyDescent="0.2">
      <c r="B23" s="8">
        <f t="shared" si="0"/>
        <v>19</v>
      </c>
      <c r="C23" s="13" t="str">
        <f t="shared" ca="1" si="1"/>
        <v>設計積算機能</v>
      </c>
      <c r="D23" s="13" t="str">
        <f t="shared" ca="1" si="1"/>
        <v>基準予算（鑑）画面</v>
      </c>
      <c r="E23" s="13" t="str">
        <f t="shared" ca="1" si="1"/>
        <v>予算一覧エリア</v>
      </c>
      <c r="F23" s="13" t="str">
        <f t="shared" ca="1" si="1"/>
        <v>直接販売費</v>
      </c>
      <c r="G23" s="9" t="s">
        <v>11</v>
      </c>
      <c r="H23" s="9" t="s">
        <v>11</v>
      </c>
      <c r="I23" s="14" t="s">
        <v>84</v>
      </c>
      <c r="J23" s="14" t="s">
        <v>167</v>
      </c>
      <c r="K23" s="9" t="s">
        <v>161</v>
      </c>
      <c r="L23" s="9" t="s">
        <v>11</v>
      </c>
      <c r="M23" s="48" t="s">
        <v>175</v>
      </c>
      <c r="N23" s="50"/>
      <c r="O23" s="49" t="s">
        <v>191</v>
      </c>
    </row>
    <row r="24" spans="2:15" ht="45" customHeight="1" x14ac:dyDescent="0.2">
      <c r="B24" s="8">
        <f t="shared" si="0"/>
        <v>20</v>
      </c>
      <c r="C24" s="13" t="str">
        <f t="shared" ca="1" si="1"/>
        <v>設計積算機能</v>
      </c>
      <c r="D24" s="13" t="str">
        <f t="shared" ca="1" si="1"/>
        <v>基準予算（鑑）画面</v>
      </c>
      <c r="E24" s="13" t="str">
        <f t="shared" ca="1" si="1"/>
        <v>予算一覧エリア</v>
      </c>
      <c r="F24" s="44" t="s">
        <v>87</v>
      </c>
      <c r="G24" s="9" t="s">
        <v>11</v>
      </c>
      <c r="H24" s="9" t="s">
        <v>11</v>
      </c>
      <c r="I24" s="14" t="s">
        <v>83</v>
      </c>
      <c r="J24" s="14" t="s">
        <v>167</v>
      </c>
      <c r="K24" s="9" t="s">
        <v>81</v>
      </c>
      <c r="L24" s="9" t="s">
        <v>11</v>
      </c>
      <c r="M24" s="48" t="s">
        <v>176</v>
      </c>
      <c r="N24" s="50">
        <v>2</v>
      </c>
      <c r="O24" s="49" t="s">
        <v>188</v>
      </c>
    </row>
    <row r="25" spans="2:15" ht="45" customHeight="1" x14ac:dyDescent="0.2">
      <c r="B25" s="8">
        <f t="shared" si="0"/>
        <v>21</v>
      </c>
      <c r="C25" s="13" t="str">
        <f t="shared" ref="C25:F47" ca="1" si="2">INDIRECT(ADDRESS(ROW()-1,COLUMN()))</f>
        <v>設計積算機能</v>
      </c>
      <c r="D25" s="13" t="str">
        <f t="shared" ca="1" si="2"/>
        <v>基準予算（鑑）画面</v>
      </c>
      <c r="E25" s="13" t="str">
        <f t="shared" ca="1" si="2"/>
        <v>予算一覧エリア</v>
      </c>
      <c r="F25" s="13" t="str">
        <f t="shared" ca="1" si="1"/>
        <v>B 変動費 計</v>
      </c>
      <c r="G25" s="9" t="s">
        <v>11</v>
      </c>
      <c r="H25" s="9" t="s">
        <v>11</v>
      </c>
      <c r="I25" s="14" t="s">
        <v>84</v>
      </c>
      <c r="J25" s="14" t="s">
        <v>167</v>
      </c>
      <c r="K25" s="9" t="s">
        <v>161</v>
      </c>
      <c r="L25" s="9" t="s">
        <v>11</v>
      </c>
      <c r="M25" s="48" t="s">
        <v>175</v>
      </c>
      <c r="N25" s="50"/>
      <c r="O25" s="49" t="s">
        <v>191</v>
      </c>
    </row>
    <row r="26" spans="2:15" ht="45" customHeight="1" x14ac:dyDescent="0.2">
      <c r="B26" s="8">
        <f t="shared" si="0"/>
        <v>22</v>
      </c>
      <c r="C26" s="13" t="str">
        <f t="shared" ca="1" si="2"/>
        <v>設計積算機能</v>
      </c>
      <c r="D26" s="13" t="str">
        <f t="shared" ca="1" si="2"/>
        <v>基準予算（鑑）画面</v>
      </c>
      <c r="E26" s="13" t="str">
        <f t="shared" ca="1" si="2"/>
        <v>予算一覧エリア</v>
      </c>
      <c r="F26" s="13" t="str">
        <f t="shared" ca="1" si="2"/>
        <v>B 変動費 計</v>
      </c>
      <c r="G26" s="9" t="s">
        <v>11</v>
      </c>
      <c r="H26" s="9" t="s">
        <v>11</v>
      </c>
      <c r="I26" s="14" t="s">
        <v>57</v>
      </c>
      <c r="J26" s="14" t="s">
        <v>166</v>
      </c>
      <c r="K26" s="9" t="s">
        <v>156</v>
      </c>
      <c r="L26" s="9" t="s">
        <v>11</v>
      </c>
      <c r="M26" s="48" t="s">
        <v>178</v>
      </c>
      <c r="N26" s="50">
        <v>5</v>
      </c>
      <c r="O26" s="49" t="s">
        <v>201</v>
      </c>
    </row>
    <row r="27" spans="2:15" ht="45" customHeight="1" x14ac:dyDescent="0.2">
      <c r="B27" s="8">
        <f t="shared" si="0"/>
        <v>23</v>
      </c>
      <c r="C27" s="13" t="str">
        <f t="shared" ca="1" si="2"/>
        <v>設計積算機能</v>
      </c>
      <c r="D27" s="13" t="str">
        <f t="shared" ca="1" si="2"/>
        <v>基準予算（鑑）画面</v>
      </c>
      <c r="E27" s="13" t="str">
        <f t="shared" ca="1" si="2"/>
        <v>予算一覧エリア</v>
      </c>
      <c r="F27" s="44" t="s">
        <v>88</v>
      </c>
      <c r="G27" s="9" t="s">
        <v>11</v>
      </c>
      <c r="H27" s="9" t="s">
        <v>11</v>
      </c>
      <c r="I27" s="14" t="s">
        <v>83</v>
      </c>
      <c r="J27" s="14" t="s">
        <v>167</v>
      </c>
      <c r="K27" s="9" t="s">
        <v>81</v>
      </c>
      <c r="L27" s="9" t="s">
        <v>11</v>
      </c>
      <c r="M27" s="48" t="s">
        <v>176</v>
      </c>
      <c r="N27" s="50">
        <v>2</v>
      </c>
      <c r="O27" s="49" t="s">
        <v>188</v>
      </c>
    </row>
    <row r="28" spans="2:15" ht="45" customHeight="1" x14ac:dyDescent="0.2">
      <c r="B28" s="8">
        <f t="shared" si="0"/>
        <v>24</v>
      </c>
      <c r="C28" s="13" t="str">
        <f t="shared" ca="1" si="2"/>
        <v>設計積算機能</v>
      </c>
      <c r="D28" s="13" t="str">
        <f t="shared" ca="1" si="2"/>
        <v>基準予算（鑑）画面</v>
      </c>
      <c r="E28" s="13" t="str">
        <f t="shared" ca="1" si="2"/>
        <v>予算一覧エリア</v>
      </c>
      <c r="F28" s="13" t="str">
        <f t="shared" ca="1" si="2"/>
        <v>C 限界利益(A-B)</v>
      </c>
      <c r="G28" s="9" t="s">
        <v>11</v>
      </c>
      <c r="H28" s="9" t="s">
        <v>11</v>
      </c>
      <c r="I28" s="14" t="s">
        <v>84</v>
      </c>
      <c r="J28" s="14" t="s">
        <v>167</v>
      </c>
      <c r="K28" s="9" t="s">
        <v>161</v>
      </c>
      <c r="L28" s="9" t="s">
        <v>11</v>
      </c>
      <c r="M28" s="48" t="s">
        <v>175</v>
      </c>
      <c r="N28" s="50"/>
      <c r="O28" s="49" t="s">
        <v>191</v>
      </c>
    </row>
    <row r="29" spans="2:15" ht="45" customHeight="1" x14ac:dyDescent="0.2">
      <c r="B29" s="8">
        <f t="shared" si="0"/>
        <v>25</v>
      </c>
      <c r="C29" s="13" t="str">
        <f t="shared" ca="1" si="2"/>
        <v>設計積算機能</v>
      </c>
      <c r="D29" s="13" t="str">
        <f t="shared" ca="1" si="2"/>
        <v>基準予算（鑑）画面</v>
      </c>
      <c r="E29" s="13" t="str">
        <f t="shared" ca="1" si="2"/>
        <v>予算一覧エリア</v>
      </c>
      <c r="F29" s="13" t="str">
        <f t="shared" ca="1" si="2"/>
        <v>C 限界利益(A-B)</v>
      </c>
      <c r="G29" s="9" t="s">
        <v>11</v>
      </c>
      <c r="H29" s="9" t="s">
        <v>11</v>
      </c>
      <c r="I29" s="14" t="s">
        <v>57</v>
      </c>
      <c r="J29" s="14" t="s">
        <v>166</v>
      </c>
      <c r="K29" s="9" t="s">
        <v>157</v>
      </c>
      <c r="L29" s="9" t="s">
        <v>11</v>
      </c>
      <c r="M29" s="48" t="s">
        <v>175</v>
      </c>
      <c r="N29" s="50"/>
      <c r="O29" s="49" t="s">
        <v>189</v>
      </c>
    </row>
    <row r="30" spans="2:15" ht="45" customHeight="1" x14ac:dyDescent="0.2">
      <c r="B30" s="8">
        <f t="shared" si="0"/>
        <v>26</v>
      </c>
      <c r="C30" s="13" t="str">
        <f t="shared" ca="1" si="2"/>
        <v>設計積算機能</v>
      </c>
      <c r="D30" s="13" t="str">
        <f t="shared" ca="1" si="2"/>
        <v>基準予算（鑑）画面</v>
      </c>
      <c r="E30" s="13" t="str">
        <f t="shared" ca="1" si="2"/>
        <v>予算一覧エリア</v>
      </c>
      <c r="F30" s="44" t="s">
        <v>90</v>
      </c>
      <c r="G30" s="9" t="s">
        <v>11</v>
      </c>
      <c r="H30" s="9" t="s">
        <v>11</v>
      </c>
      <c r="I30" s="14" t="s">
        <v>83</v>
      </c>
      <c r="J30" s="14" t="s">
        <v>167</v>
      </c>
      <c r="K30" s="9" t="s">
        <v>81</v>
      </c>
      <c r="L30" s="9" t="s">
        <v>11</v>
      </c>
      <c r="M30" s="48" t="s">
        <v>175</v>
      </c>
      <c r="N30" s="50"/>
      <c r="O30" s="49" t="s">
        <v>187</v>
      </c>
    </row>
    <row r="31" spans="2:15" ht="45" customHeight="1" x14ac:dyDescent="0.2">
      <c r="B31" s="8">
        <f t="shared" si="0"/>
        <v>27</v>
      </c>
      <c r="C31" s="13" t="str">
        <f t="shared" ca="1" si="2"/>
        <v>設計積算機能</v>
      </c>
      <c r="D31" s="13" t="str">
        <f t="shared" ca="1" si="2"/>
        <v>基準予算（鑑）画面</v>
      </c>
      <c r="E31" s="13" t="str">
        <f t="shared" ca="1" si="2"/>
        <v>予算一覧エリア</v>
      </c>
      <c r="F31" s="13" t="str">
        <f t="shared" ca="1" si="2"/>
        <v>D 設管理費</v>
      </c>
      <c r="G31" s="9" t="s">
        <v>11</v>
      </c>
      <c r="H31" s="9" t="s">
        <v>11</v>
      </c>
      <c r="I31" s="14" t="s">
        <v>84</v>
      </c>
      <c r="J31" s="14" t="s">
        <v>167</v>
      </c>
      <c r="K31" s="9" t="s">
        <v>161</v>
      </c>
      <c r="L31" s="9" t="s">
        <v>11</v>
      </c>
      <c r="M31" s="48" t="s">
        <v>175</v>
      </c>
      <c r="N31" s="50"/>
      <c r="O31" s="49" t="s">
        <v>191</v>
      </c>
    </row>
    <row r="32" spans="2:15" ht="45" customHeight="1" x14ac:dyDescent="0.2">
      <c r="B32" s="8">
        <f t="shared" si="0"/>
        <v>28</v>
      </c>
      <c r="C32" s="13" t="str">
        <f t="shared" ca="1" si="2"/>
        <v>設計積算機能</v>
      </c>
      <c r="D32" s="13" t="str">
        <f t="shared" ca="1" si="2"/>
        <v>基準予算（鑑）画面</v>
      </c>
      <c r="E32" s="13" t="str">
        <f t="shared" ca="1" si="2"/>
        <v>予算一覧エリア</v>
      </c>
      <c r="F32" s="44" t="s">
        <v>89</v>
      </c>
      <c r="G32" s="9" t="s">
        <v>11</v>
      </c>
      <c r="H32" s="9" t="s">
        <v>11</v>
      </c>
      <c r="I32" s="14" t="s">
        <v>83</v>
      </c>
      <c r="J32" s="14" t="s">
        <v>167</v>
      </c>
      <c r="K32" s="9" t="s">
        <v>81</v>
      </c>
      <c r="L32" s="9" t="s">
        <v>11</v>
      </c>
      <c r="M32" s="48" t="s">
        <v>176</v>
      </c>
      <c r="N32" s="50">
        <v>2</v>
      </c>
      <c r="O32" s="49" t="s">
        <v>188</v>
      </c>
    </row>
    <row r="33" spans="2:15" ht="45" customHeight="1" x14ac:dyDescent="0.2">
      <c r="B33" s="8">
        <f t="shared" si="0"/>
        <v>29</v>
      </c>
      <c r="C33" s="13" t="str">
        <f t="shared" ca="1" si="2"/>
        <v>設計積算機能</v>
      </c>
      <c r="D33" s="13" t="str">
        <f t="shared" ca="1" si="2"/>
        <v>基準予算（鑑）画面</v>
      </c>
      <c r="E33" s="13" t="str">
        <f t="shared" ca="1" si="2"/>
        <v>予算一覧エリア</v>
      </c>
      <c r="F33" s="13" t="str">
        <f t="shared" ca="1" si="2"/>
        <v>E 工事利益(C-D)</v>
      </c>
      <c r="G33" s="9" t="s">
        <v>11</v>
      </c>
      <c r="H33" s="9" t="s">
        <v>11</v>
      </c>
      <c r="I33" s="14" t="s">
        <v>84</v>
      </c>
      <c r="J33" s="14" t="s">
        <v>167</v>
      </c>
      <c r="K33" s="9" t="s">
        <v>161</v>
      </c>
      <c r="L33" s="9" t="s">
        <v>11</v>
      </c>
      <c r="M33" s="48" t="s">
        <v>175</v>
      </c>
      <c r="N33" s="50"/>
      <c r="O33" s="49" t="s">
        <v>191</v>
      </c>
    </row>
    <row r="34" spans="2:15" ht="45" customHeight="1" x14ac:dyDescent="0.2">
      <c r="B34" s="8">
        <f t="shared" si="0"/>
        <v>30</v>
      </c>
      <c r="C34" s="13" t="str">
        <f t="shared" ca="1" si="2"/>
        <v>設計積算機能</v>
      </c>
      <c r="D34" s="13" t="str">
        <f t="shared" ca="1" si="2"/>
        <v>基準予算（鑑）画面</v>
      </c>
      <c r="E34" s="13" t="str">
        <f t="shared" ca="1" si="2"/>
        <v>予算一覧エリア</v>
      </c>
      <c r="F34" s="13" t="str">
        <f t="shared" ca="1" si="2"/>
        <v>E 工事利益(C-D)</v>
      </c>
      <c r="G34" s="9" t="s">
        <v>11</v>
      </c>
      <c r="H34" s="9" t="s">
        <v>11</v>
      </c>
      <c r="I34" s="14" t="s">
        <v>57</v>
      </c>
      <c r="J34" s="14" t="s">
        <v>166</v>
      </c>
      <c r="K34" s="9" t="s">
        <v>158</v>
      </c>
      <c r="L34" s="9" t="s">
        <v>11</v>
      </c>
      <c r="M34" s="48" t="s">
        <v>175</v>
      </c>
      <c r="N34" s="50"/>
      <c r="O34" s="49" t="s">
        <v>190</v>
      </c>
    </row>
    <row r="35" spans="2:15" ht="45" customHeight="1" x14ac:dyDescent="0.2">
      <c r="B35" s="8">
        <f t="shared" si="0"/>
        <v>31</v>
      </c>
      <c r="C35" s="13" t="str">
        <f t="shared" ca="1" si="2"/>
        <v>設計積算機能</v>
      </c>
      <c r="D35" s="13" t="str">
        <f t="shared" ca="1" si="2"/>
        <v>基準予算（鑑）画面</v>
      </c>
      <c r="E35" s="13" t="str">
        <f t="shared" ca="1" si="2"/>
        <v>予算一覧エリア</v>
      </c>
      <c r="F35" s="44" t="s">
        <v>91</v>
      </c>
      <c r="G35" s="9" t="s">
        <v>11</v>
      </c>
      <c r="H35" s="9" t="s">
        <v>11</v>
      </c>
      <c r="I35" s="14" t="s">
        <v>83</v>
      </c>
      <c r="J35" s="14" t="s">
        <v>167</v>
      </c>
      <c r="K35" s="9" t="s">
        <v>81</v>
      </c>
      <c r="L35" s="9" t="s">
        <v>11</v>
      </c>
      <c r="M35" s="48" t="s">
        <v>175</v>
      </c>
      <c r="N35" s="50"/>
      <c r="O35" s="49" t="s">
        <v>187</v>
      </c>
    </row>
    <row r="36" spans="2:15" ht="45" customHeight="1" x14ac:dyDescent="0.2">
      <c r="B36" s="8">
        <f t="shared" si="0"/>
        <v>32</v>
      </c>
      <c r="C36" s="13" t="str">
        <f t="shared" ca="1" si="2"/>
        <v>設計積算機能</v>
      </c>
      <c r="D36" s="13" t="str">
        <f t="shared" ca="1" si="2"/>
        <v>基準予算（鑑）画面</v>
      </c>
      <c r="E36" s="13" t="str">
        <f t="shared" ca="1" si="2"/>
        <v>予算一覧エリア</v>
      </c>
      <c r="F36" s="13" t="str">
        <f t="shared" ca="1" si="2"/>
        <v>F 営業費・本社費</v>
      </c>
      <c r="G36" s="9" t="s">
        <v>11</v>
      </c>
      <c r="H36" s="9" t="s">
        <v>11</v>
      </c>
      <c r="I36" s="14" t="s">
        <v>84</v>
      </c>
      <c r="J36" s="14" t="s">
        <v>167</v>
      </c>
      <c r="K36" s="9" t="s">
        <v>161</v>
      </c>
      <c r="L36" s="9" t="s">
        <v>11</v>
      </c>
      <c r="M36" s="48" t="s">
        <v>175</v>
      </c>
      <c r="N36" s="50"/>
      <c r="O36" s="49" t="s">
        <v>191</v>
      </c>
    </row>
    <row r="37" spans="2:15" ht="45" customHeight="1" x14ac:dyDescent="0.2">
      <c r="B37" s="8">
        <f t="shared" si="0"/>
        <v>33</v>
      </c>
      <c r="C37" s="13" t="str">
        <f t="shared" ca="1" si="2"/>
        <v>設計積算機能</v>
      </c>
      <c r="D37" s="13" t="str">
        <f t="shared" ca="1" si="2"/>
        <v>基準予算（鑑）画面</v>
      </c>
      <c r="E37" s="13" t="str">
        <f t="shared" ca="1" si="2"/>
        <v>予算一覧エリア</v>
      </c>
      <c r="F37" s="44" t="s">
        <v>92</v>
      </c>
      <c r="G37" s="9" t="s">
        <v>11</v>
      </c>
      <c r="H37" s="9" t="s">
        <v>11</v>
      </c>
      <c r="I37" s="14" t="s">
        <v>83</v>
      </c>
      <c r="J37" s="14" t="s">
        <v>167</v>
      </c>
      <c r="K37" s="9" t="s">
        <v>81</v>
      </c>
      <c r="L37" s="9" t="s">
        <v>11</v>
      </c>
      <c r="M37" s="48" t="s">
        <v>176</v>
      </c>
      <c r="N37" s="50">
        <v>2</v>
      </c>
      <c r="O37" s="49" t="s">
        <v>188</v>
      </c>
    </row>
    <row r="38" spans="2:15" ht="45" customHeight="1" x14ac:dyDescent="0.2">
      <c r="B38" s="8">
        <f t="shared" si="0"/>
        <v>34</v>
      </c>
      <c r="C38" s="13" t="str">
        <f t="shared" ca="1" si="2"/>
        <v>設計積算機能</v>
      </c>
      <c r="D38" s="13" t="str">
        <f t="shared" ca="1" si="2"/>
        <v>基準予算（鑑）画面</v>
      </c>
      <c r="E38" s="13" t="str">
        <f t="shared" ca="1" si="2"/>
        <v>予算一覧エリア</v>
      </c>
      <c r="F38" s="13" t="str">
        <f t="shared" ca="1" si="2"/>
        <v>G 営業利益(E-F)</v>
      </c>
      <c r="G38" s="9" t="s">
        <v>11</v>
      </c>
      <c r="H38" s="9" t="s">
        <v>11</v>
      </c>
      <c r="I38" s="14" t="s">
        <v>84</v>
      </c>
      <c r="J38" s="14" t="s">
        <v>167</v>
      </c>
      <c r="K38" s="9" t="s">
        <v>161</v>
      </c>
      <c r="L38" s="9" t="s">
        <v>11</v>
      </c>
      <c r="M38" s="48" t="s">
        <v>175</v>
      </c>
      <c r="N38" s="50"/>
      <c r="O38" s="49" t="s">
        <v>191</v>
      </c>
    </row>
    <row r="39" spans="2:15" ht="45" customHeight="1" x14ac:dyDescent="0.2">
      <c r="B39" s="8">
        <f t="shared" si="0"/>
        <v>35</v>
      </c>
      <c r="C39" s="13" t="str">
        <f t="shared" ca="1" si="2"/>
        <v>設計積算機能</v>
      </c>
      <c r="D39" s="13" t="str">
        <f t="shared" ca="1" si="2"/>
        <v>基準予算（鑑）画面</v>
      </c>
      <c r="E39" s="13" t="str">
        <f t="shared" ca="1" si="2"/>
        <v>予算一覧エリア</v>
      </c>
      <c r="F39" s="13" t="str">
        <f t="shared" ca="1" si="2"/>
        <v>G 営業利益(E-F)</v>
      </c>
      <c r="G39" s="9" t="s">
        <v>11</v>
      </c>
      <c r="H39" s="9" t="s">
        <v>11</v>
      </c>
      <c r="I39" s="14" t="s">
        <v>57</v>
      </c>
      <c r="J39" s="14" t="s">
        <v>166</v>
      </c>
      <c r="K39" s="9" t="s">
        <v>159</v>
      </c>
      <c r="L39" s="9" t="s">
        <v>11</v>
      </c>
      <c r="M39" s="48" t="s">
        <v>175</v>
      </c>
      <c r="N39" s="50"/>
      <c r="O39" s="49" t="s">
        <v>192</v>
      </c>
    </row>
    <row r="40" spans="2:15" ht="111.45" customHeight="1" x14ac:dyDescent="0.2">
      <c r="B40" s="8">
        <f t="shared" si="0"/>
        <v>36</v>
      </c>
      <c r="C40" s="13" t="str">
        <f t="shared" ca="1" si="2"/>
        <v>設計積算機能</v>
      </c>
      <c r="D40" s="13" t="str">
        <f t="shared" ca="1" si="2"/>
        <v>基準予算（鑑）画面</v>
      </c>
      <c r="E40" s="44" t="s">
        <v>93</v>
      </c>
      <c r="F40" s="44" t="s">
        <v>94</v>
      </c>
      <c r="G40" s="9" t="s">
        <v>97</v>
      </c>
      <c r="H40" s="9" t="s">
        <v>11</v>
      </c>
      <c r="I40" s="14" t="s">
        <v>96</v>
      </c>
      <c r="J40" s="14" t="s">
        <v>95</v>
      </c>
      <c r="K40" s="9" t="s">
        <v>106</v>
      </c>
      <c r="L40" s="9" t="s">
        <v>11</v>
      </c>
      <c r="M40" s="48" t="s">
        <v>178</v>
      </c>
      <c r="N40" s="50">
        <v>6</v>
      </c>
      <c r="O40" s="49" t="s">
        <v>193</v>
      </c>
    </row>
    <row r="41" spans="2:15" ht="100.5" customHeight="1" x14ac:dyDescent="0.2">
      <c r="B41" s="8">
        <f t="shared" si="0"/>
        <v>37</v>
      </c>
      <c r="C41" s="13" t="str">
        <f t="shared" ca="1" si="2"/>
        <v>設計積算機能</v>
      </c>
      <c r="D41" s="13" t="str">
        <f t="shared" ca="1" si="2"/>
        <v>基準予算（鑑）画面</v>
      </c>
      <c r="E41" s="13" t="str">
        <f t="shared" ca="1" si="2"/>
        <v>ボタンエリア</v>
      </c>
      <c r="F41" s="13" t="str">
        <f t="shared" ca="1" si="2"/>
        <v>登録ボタン</v>
      </c>
      <c r="G41" s="9" t="s">
        <v>98</v>
      </c>
      <c r="H41" s="9" t="s">
        <v>11</v>
      </c>
      <c r="I41" s="14" t="s">
        <v>96</v>
      </c>
      <c r="J41" s="14" t="s">
        <v>95</v>
      </c>
      <c r="K41" s="9" t="s">
        <v>105</v>
      </c>
      <c r="L41" s="9" t="s">
        <v>11</v>
      </c>
      <c r="M41" s="48" t="s">
        <v>178</v>
      </c>
      <c r="N41" s="50">
        <v>7</v>
      </c>
      <c r="O41" s="49" t="s">
        <v>194</v>
      </c>
    </row>
    <row r="42" spans="2:15" ht="103.05" customHeight="1" x14ac:dyDescent="0.2">
      <c r="B42" s="8">
        <f t="shared" si="0"/>
        <v>38</v>
      </c>
      <c r="C42" s="13" t="str">
        <f t="shared" ca="1" si="2"/>
        <v>設計積算機能</v>
      </c>
      <c r="D42" s="13" t="str">
        <f t="shared" ca="1" si="2"/>
        <v>基準予算（鑑）画面</v>
      </c>
      <c r="E42" s="13" t="str">
        <f t="shared" ca="1" si="2"/>
        <v>ボタンエリア</v>
      </c>
      <c r="F42" s="13" t="str">
        <f t="shared" ca="1" si="2"/>
        <v>登録ボタン</v>
      </c>
      <c r="G42" s="9" t="s">
        <v>101</v>
      </c>
      <c r="H42" s="9" t="s">
        <v>11</v>
      </c>
      <c r="I42" s="14" t="s">
        <v>96</v>
      </c>
      <c r="J42" s="14" t="s">
        <v>95</v>
      </c>
      <c r="K42" s="9" t="s">
        <v>163</v>
      </c>
      <c r="L42" s="9" t="s">
        <v>11</v>
      </c>
      <c r="M42" s="48" t="s">
        <v>178</v>
      </c>
      <c r="N42" s="50">
        <v>8</v>
      </c>
      <c r="O42" s="49" t="s">
        <v>195</v>
      </c>
    </row>
    <row r="43" spans="2:15" ht="106.05" customHeight="1" x14ac:dyDescent="0.2">
      <c r="B43" s="8">
        <f t="shared" si="0"/>
        <v>39</v>
      </c>
      <c r="C43" s="13" t="str">
        <f t="shared" ca="1" si="2"/>
        <v>設計積算機能</v>
      </c>
      <c r="D43" s="13" t="str">
        <f t="shared" ca="1" si="2"/>
        <v>基準予算（鑑）画面</v>
      </c>
      <c r="E43" s="13" t="str">
        <f t="shared" ca="1" si="2"/>
        <v>ボタンエリア</v>
      </c>
      <c r="F43" s="13" t="str">
        <f t="shared" ca="1" si="2"/>
        <v>登録ボタン</v>
      </c>
      <c r="G43" s="9" t="s">
        <v>160</v>
      </c>
      <c r="H43" s="9" t="s">
        <v>11</v>
      </c>
      <c r="I43" s="14" t="s">
        <v>96</v>
      </c>
      <c r="J43" s="14" t="s">
        <v>95</v>
      </c>
      <c r="K43" s="9" t="s">
        <v>164</v>
      </c>
      <c r="L43" s="9" t="s">
        <v>11</v>
      </c>
      <c r="M43" s="48" t="s">
        <v>178</v>
      </c>
      <c r="N43" s="50">
        <v>9</v>
      </c>
      <c r="O43" s="49" t="s">
        <v>198</v>
      </c>
    </row>
    <row r="44" spans="2:15" ht="103.95" customHeight="1" x14ac:dyDescent="0.2">
      <c r="B44" s="8">
        <f t="shared" si="0"/>
        <v>40</v>
      </c>
      <c r="C44" s="13" t="str">
        <f t="shared" ca="1" si="2"/>
        <v>設計積算機能</v>
      </c>
      <c r="D44" s="13" t="str">
        <f t="shared" ca="1" si="2"/>
        <v>基準予算（鑑）画面</v>
      </c>
      <c r="E44" s="13" t="str">
        <f t="shared" ca="1" si="2"/>
        <v>ボタンエリア</v>
      </c>
      <c r="F44" s="13" t="str">
        <f t="shared" ca="1" si="2"/>
        <v>登録ボタン</v>
      </c>
      <c r="G44" s="9" t="s">
        <v>169</v>
      </c>
      <c r="H44" s="9" t="s">
        <v>11</v>
      </c>
      <c r="I44" s="14" t="s">
        <v>96</v>
      </c>
      <c r="J44" s="14" t="s">
        <v>95</v>
      </c>
      <c r="K44" s="9" t="s">
        <v>170</v>
      </c>
      <c r="L44" s="9" t="s">
        <v>11</v>
      </c>
      <c r="M44" s="48" t="s">
        <v>175</v>
      </c>
      <c r="N44" s="50"/>
      <c r="O44" s="49" t="s">
        <v>196</v>
      </c>
    </row>
    <row r="45" spans="2:15" ht="103.95" customHeight="1" x14ac:dyDescent="0.2">
      <c r="B45" s="8">
        <f t="shared" si="0"/>
        <v>41</v>
      </c>
      <c r="C45" s="13" t="str">
        <f t="shared" ca="1" si="2"/>
        <v>設計積算機能</v>
      </c>
      <c r="D45" s="13" t="str">
        <f t="shared" ca="1" si="2"/>
        <v>基準予算（鑑）画面</v>
      </c>
      <c r="E45" s="13" t="str">
        <f t="shared" ca="1" si="2"/>
        <v>ボタンエリア</v>
      </c>
      <c r="F45" s="13" t="str">
        <f t="shared" ca="1" si="2"/>
        <v>登録ボタン</v>
      </c>
      <c r="G45" s="9" t="s">
        <v>104</v>
      </c>
      <c r="H45" s="9" t="s">
        <v>11</v>
      </c>
      <c r="I45" s="14" t="s">
        <v>96</v>
      </c>
      <c r="J45" s="14" t="s">
        <v>95</v>
      </c>
      <c r="K45" s="9" t="s">
        <v>165</v>
      </c>
      <c r="L45" s="9" t="s">
        <v>11</v>
      </c>
      <c r="M45" s="48" t="s">
        <v>175</v>
      </c>
      <c r="N45" s="50"/>
      <c r="O45" s="49" t="s">
        <v>197</v>
      </c>
    </row>
    <row r="46" spans="2:15" ht="185.55" customHeight="1" x14ac:dyDescent="0.2">
      <c r="B46" s="8">
        <f t="shared" si="0"/>
        <v>42</v>
      </c>
      <c r="C46" s="13" t="str">
        <f t="shared" ca="1" si="2"/>
        <v>設計積算機能</v>
      </c>
      <c r="D46" s="13" t="str">
        <f t="shared" ca="1" si="2"/>
        <v>基準予算（鑑）画面</v>
      </c>
      <c r="E46" s="13" t="str">
        <f t="shared" ca="1" si="2"/>
        <v>ボタンエリア</v>
      </c>
      <c r="F46" s="13" t="str">
        <f t="shared" ca="1" si="2"/>
        <v>登録ボタン</v>
      </c>
      <c r="G46" s="9" t="s">
        <v>103</v>
      </c>
      <c r="H46" s="9" t="s">
        <v>11</v>
      </c>
      <c r="I46" s="14" t="s">
        <v>96</v>
      </c>
      <c r="J46" s="14" t="s">
        <v>95</v>
      </c>
      <c r="K46" s="9" t="s">
        <v>171</v>
      </c>
      <c r="L46" s="9" t="s">
        <v>11</v>
      </c>
      <c r="M46" s="48" t="s">
        <v>178</v>
      </c>
      <c r="N46" s="50">
        <v>10</v>
      </c>
      <c r="O46" s="49" t="s">
        <v>199</v>
      </c>
    </row>
    <row r="47" spans="2:15" ht="187.95" customHeight="1" x14ac:dyDescent="0.2">
      <c r="B47" s="8">
        <f t="shared" si="0"/>
        <v>43</v>
      </c>
      <c r="C47" s="13" t="str">
        <f t="shared" ca="1" si="2"/>
        <v>設計積算機能</v>
      </c>
      <c r="D47" s="13" t="str">
        <f t="shared" ca="1" si="2"/>
        <v>基準予算（鑑）画面</v>
      </c>
      <c r="E47" s="13" t="str">
        <f t="shared" ca="1" si="2"/>
        <v>ボタンエリア</v>
      </c>
      <c r="F47" s="13" t="str">
        <f t="shared" ca="1" si="2"/>
        <v>登録ボタン</v>
      </c>
      <c r="G47" s="9" t="s">
        <v>99</v>
      </c>
      <c r="H47" s="9" t="s">
        <v>11</v>
      </c>
      <c r="I47" s="14" t="s">
        <v>100</v>
      </c>
      <c r="J47" s="14" t="s">
        <v>95</v>
      </c>
      <c r="K47" s="9" t="s">
        <v>172</v>
      </c>
      <c r="L47" s="9" t="s">
        <v>11</v>
      </c>
      <c r="M47" s="48" t="s">
        <v>175</v>
      </c>
      <c r="N47" s="50"/>
      <c r="O47" s="49" t="s">
        <v>200</v>
      </c>
    </row>
    <row r="48" spans="2:15" s="4" customFormat="1" ht="37.799999999999997" x14ac:dyDescent="0.2">
      <c r="B48" s="10" t="s">
        <v>9</v>
      </c>
      <c r="C48" s="11" t="s">
        <v>9</v>
      </c>
      <c r="D48" s="11" t="s">
        <v>9</v>
      </c>
      <c r="E48" s="11" t="s">
        <v>9</v>
      </c>
      <c r="F48" s="11" t="s">
        <v>9</v>
      </c>
      <c r="G48" s="11" t="s">
        <v>9</v>
      </c>
      <c r="H48" s="11" t="s">
        <v>9</v>
      </c>
      <c r="I48" s="11" t="s">
        <v>9</v>
      </c>
      <c r="J48" s="12" t="s">
        <v>9</v>
      </c>
      <c r="K48" s="12" t="s">
        <v>9</v>
      </c>
      <c r="L48" s="12" t="s">
        <v>9</v>
      </c>
      <c r="M48" s="12" t="s">
        <v>9</v>
      </c>
      <c r="N48" s="51" t="s">
        <v>9</v>
      </c>
      <c r="O48" s="52"/>
    </row>
  </sheetData>
  <phoneticPr fontId="2"/>
  <conditionalFormatting sqref="B5:B47">
    <cfRule type="expression" dxfId="7" priority="10" stopIfTrue="1">
      <formula>#REF!="×"</formula>
    </cfRule>
  </conditionalFormatting>
  <conditionalFormatting sqref="B48:N48">
    <cfRule type="expression" dxfId="6" priority="1" stopIfTrue="1">
      <formula>#REF!="×"</formula>
    </cfRule>
  </conditionalFormatting>
  <conditionalFormatting sqref="M5:M47">
    <cfRule type="cellIs" dxfId="5" priority="3" operator="equal">
      <formula>"対象外"</formula>
    </cfRule>
    <cfRule type="cellIs" dxfId="4" priority="4" operator="equal">
      <formula>"修正済"</formula>
    </cfRule>
    <cfRule type="cellIs" dxfId="3" priority="5" operator="equal">
      <formula>"保留"</formula>
    </cfRule>
    <cfRule type="cellIs" dxfId="2" priority="6" operator="equal">
      <formula>"NG"</formula>
    </cfRule>
    <cfRule type="cellIs" dxfId="1" priority="7" operator="equal">
      <formula>"OK"</formula>
    </cfRule>
    <cfRule type="cellIs" dxfId="0" priority="8" operator="equal">
      <formula>"未実行"</formula>
    </cfRule>
  </conditionalFormatting>
  <dataValidations count="1">
    <dataValidation type="list" allowBlank="1" showInputMessage="1" showErrorMessage="1" sqref="M5:M47" xr:uid="{E9D03500-7DA8-4ED8-9F55-FEBD9ED69D9D}">
      <formula1>"未実行,OK,NG,修正済,保留,対象外"</formula1>
    </dataValidation>
  </dataValidations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30"/>
  <sheetViews>
    <sheetView showGridLines="0" workbookViewId="0"/>
  </sheetViews>
  <sheetFormatPr defaultColWidth="8.88671875" defaultRowHeight="15" x14ac:dyDescent="0.2"/>
  <cols>
    <col min="1" max="1" width="2.44140625" style="15" customWidth="1"/>
    <col min="2" max="2" width="14.88671875" style="23" customWidth="1"/>
    <col min="3" max="3" width="14.44140625" style="23" bestFit="1" customWidth="1"/>
    <col min="4" max="5" width="10" style="23" customWidth="1"/>
    <col min="6" max="16384" width="8.88671875" style="15"/>
  </cols>
  <sheetData>
    <row r="1" spans="1:3" ht="24.6" x14ac:dyDescent="0.2">
      <c r="A1" s="43" t="s">
        <v>45</v>
      </c>
    </row>
    <row r="3" spans="1:3" x14ac:dyDescent="0.2">
      <c r="B3" s="40" t="s">
        <v>46</v>
      </c>
    </row>
    <row r="4" spans="1:3" x14ac:dyDescent="0.2">
      <c r="B4" s="41" t="s">
        <v>127</v>
      </c>
      <c r="C4" s="41" t="s">
        <v>128</v>
      </c>
    </row>
    <row r="5" spans="1:3" x14ac:dyDescent="0.2">
      <c r="B5" s="45" t="s">
        <v>107</v>
      </c>
      <c r="C5" s="42" t="s">
        <v>108</v>
      </c>
    </row>
    <row r="6" spans="1:3" x14ac:dyDescent="0.2">
      <c r="B6" s="45" t="s">
        <v>109</v>
      </c>
      <c r="C6" s="42" t="s">
        <v>110</v>
      </c>
    </row>
    <row r="7" spans="1:3" x14ac:dyDescent="0.2">
      <c r="B7" s="45" t="s">
        <v>111</v>
      </c>
      <c r="C7" s="42" t="s">
        <v>112</v>
      </c>
    </row>
    <row r="8" spans="1:3" x14ac:dyDescent="0.2">
      <c r="B8" s="45" t="s">
        <v>113</v>
      </c>
      <c r="C8" s="42" t="s">
        <v>114</v>
      </c>
    </row>
    <row r="9" spans="1:3" x14ac:dyDescent="0.2">
      <c r="B9" s="45" t="s">
        <v>115</v>
      </c>
      <c r="C9" s="42" t="s">
        <v>116</v>
      </c>
    </row>
    <row r="10" spans="1:3" x14ac:dyDescent="0.2">
      <c r="B10" s="45" t="s">
        <v>117</v>
      </c>
      <c r="C10" s="42" t="s">
        <v>118</v>
      </c>
    </row>
    <row r="11" spans="1:3" x14ac:dyDescent="0.2">
      <c r="B11" s="45" t="s">
        <v>119</v>
      </c>
      <c r="C11" s="42" t="s">
        <v>120</v>
      </c>
    </row>
    <row r="12" spans="1:3" x14ac:dyDescent="0.2">
      <c r="B12" s="45" t="s">
        <v>121</v>
      </c>
      <c r="C12" s="42" t="s">
        <v>122</v>
      </c>
    </row>
    <row r="13" spans="1:3" x14ac:dyDescent="0.2">
      <c r="B13" s="45" t="s">
        <v>123</v>
      </c>
      <c r="C13" s="42" t="s">
        <v>124</v>
      </c>
    </row>
    <row r="14" spans="1:3" x14ac:dyDescent="0.2">
      <c r="B14" s="45" t="s">
        <v>125</v>
      </c>
      <c r="C14" s="42" t="s">
        <v>126</v>
      </c>
    </row>
    <row r="17" spans="2:3" x14ac:dyDescent="0.2">
      <c r="B17" s="40" t="s">
        <v>47</v>
      </c>
    </row>
    <row r="18" spans="2:3" x14ac:dyDescent="0.2">
      <c r="B18" s="41" t="s">
        <v>153</v>
      </c>
      <c r="C18" s="47" t="s">
        <v>154</v>
      </c>
    </row>
    <row r="19" spans="2:3" x14ac:dyDescent="0.2">
      <c r="B19" s="45" t="s">
        <v>129</v>
      </c>
      <c r="C19" s="46" t="s">
        <v>130</v>
      </c>
    </row>
    <row r="20" spans="2:3" x14ac:dyDescent="0.2">
      <c r="B20" s="45" t="s">
        <v>131</v>
      </c>
      <c r="C20" s="46" t="s">
        <v>132</v>
      </c>
    </row>
    <row r="21" spans="2:3" x14ac:dyDescent="0.2">
      <c r="B21" s="45" t="s">
        <v>133</v>
      </c>
      <c r="C21" s="46" t="s">
        <v>134</v>
      </c>
    </row>
    <row r="22" spans="2:3" x14ac:dyDescent="0.2">
      <c r="B22" s="45" t="s">
        <v>135</v>
      </c>
      <c r="C22" s="46" t="s">
        <v>136</v>
      </c>
    </row>
    <row r="23" spans="2:3" x14ac:dyDescent="0.2">
      <c r="B23" s="45" t="s">
        <v>137</v>
      </c>
      <c r="C23" s="46" t="s">
        <v>138</v>
      </c>
    </row>
    <row r="24" spans="2:3" x14ac:dyDescent="0.2">
      <c r="B24" s="45" t="s">
        <v>139</v>
      </c>
      <c r="C24" s="46" t="s">
        <v>140</v>
      </c>
    </row>
    <row r="25" spans="2:3" x14ac:dyDescent="0.2">
      <c r="B25" s="45" t="s">
        <v>141</v>
      </c>
      <c r="C25" s="46" t="s">
        <v>142</v>
      </c>
    </row>
    <row r="26" spans="2:3" x14ac:dyDescent="0.2">
      <c r="B26" s="45" t="s">
        <v>143</v>
      </c>
      <c r="C26" s="46" t="s">
        <v>144</v>
      </c>
    </row>
    <row r="27" spans="2:3" x14ac:dyDescent="0.2">
      <c r="B27" s="45" t="s">
        <v>145</v>
      </c>
      <c r="C27" s="46" t="s">
        <v>146</v>
      </c>
    </row>
    <row r="28" spans="2:3" x14ac:dyDescent="0.2">
      <c r="B28" s="45" t="s">
        <v>147</v>
      </c>
      <c r="C28" s="46" t="s">
        <v>148</v>
      </c>
    </row>
    <row r="29" spans="2:3" x14ac:dyDescent="0.2">
      <c r="B29" s="45" t="s">
        <v>149</v>
      </c>
      <c r="C29" s="46" t="s">
        <v>150</v>
      </c>
    </row>
    <row r="30" spans="2:3" x14ac:dyDescent="0.2">
      <c r="B30" s="45" t="s">
        <v>151</v>
      </c>
      <c r="C30" s="46" t="s">
        <v>152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B9ADB5F56E0B14399461031CAD22B0C" ma:contentTypeVersion="10" ma:contentTypeDescription="新しいドキュメントを作成します。" ma:contentTypeScope="" ma:versionID="844d6dc57d0fd5a4afcc6a426549d96b">
  <xsd:schema xmlns:xsd="http://www.w3.org/2001/XMLSchema" xmlns:xs="http://www.w3.org/2001/XMLSchema" xmlns:p="http://schemas.microsoft.com/office/2006/metadata/properties" xmlns:ns2="ff570c2c-b781-4c47-82db-009496537956" xmlns:ns3="30518c23-470c-40b4-a3fb-3bd6e7fbc73e" targetNamespace="http://schemas.microsoft.com/office/2006/metadata/properties" ma:root="true" ma:fieldsID="51c522cfb06c8a0e6b9124e3eda504c3" ns2:_="" ns3:_="">
    <xsd:import namespace="ff570c2c-b781-4c47-82db-009496537956"/>
    <xsd:import namespace="30518c23-470c-40b4-a3fb-3bd6e7fbc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70c2c-b781-4c47-82db-009496537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18c23-470c-40b4-a3fb-3bd6e7fbc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D11904-BD96-464F-8282-55B143812D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6385CB-5538-46AA-8ADB-C6102DE0C2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E0B5E4-09BA-427A-AC41-14DCBCBCD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70c2c-b781-4c47-82db-009496537956"/>
    <ds:schemaRef ds:uri="30518c23-470c-40b4-a3fb-3bd6e7fbc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表紙</vt:lpstr>
      <vt:lpstr>更新履歴</vt:lpstr>
      <vt:lpstr>集計</vt:lpstr>
      <vt:lpstr>確認項目一覧</vt:lpstr>
      <vt:lpstr>データ定義</vt:lpstr>
      <vt:lpstr>更新履歴!Print_Area</vt:lpstr>
      <vt:lpstr>集計!Print_Area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funchoru.kan</dc:creator>
  <cp:lastModifiedBy>ekimae2025_8</cp:lastModifiedBy>
  <dcterms:created xsi:type="dcterms:W3CDTF">2015-09-15T09:06:47Z</dcterms:created>
  <dcterms:modified xsi:type="dcterms:W3CDTF">2025-12-24T06:40:54Z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0x0101000B9ADB5F56E0B14399461031CAD22B0C</vt:lpwstr>
  </property>
</Properties>
</file>