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kimae2025_8\SZKDocument\ソフトウェアテスト基礎_テキスト\"/>
    </mc:Choice>
  </mc:AlternateContent>
  <xr:revisionPtr revIDLastSave="0" documentId="13_ncr:1_{E4F3462C-C1B6-4135-9EEF-34CD495311FE}" xr6:coauthVersionLast="47" xr6:coauthVersionMax="47" xr10:uidLastSave="{00000000-0000-0000-0000-000000000000}"/>
  <bookViews>
    <workbookView xWindow="-1560" yWindow="1188" windowWidth="17712" windowHeight="9960" xr2:uid="{00000000-000D-0000-FFFF-FFFF00000000}"/>
  </bookViews>
  <sheets>
    <sheet name="設計積算｜社内研修" sheetId="1" r:id="rId1"/>
    <sheet name="DATA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3" i="1" l="1"/>
  <c r="H12" i="1"/>
  <c r="J10" i="1"/>
  <c r="H10" i="1" l="1"/>
  <c r="J27" i="1"/>
  <c r="J25" i="1"/>
  <c r="J23" i="1"/>
  <c r="J22" i="1"/>
  <c r="J21" i="1"/>
  <c r="J20" i="1"/>
  <c r="H27" i="1"/>
  <c r="H25" i="1"/>
  <c r="H22" i="1"/>
  <c r="H21" i="1"/>
  <c r="H20" i="1"/>
  <c r="F27" i="1"/>
  <c r="F25" i="1"/>
  <c r="F22" i="1"/>
  <c r="F21" i="1"/>
  <c r="F20" i="1"/>
  <c r="D27" i="1"/>
  <c r="D25" i="1"/>
  <c r="D22" i="1"/>
  <c r="D21" i="1"/>
  <c r="D20" i="1"/>
  <c r="J12" i="1" l="1"/>
  <c r="I24" i="1" l="1"/>
  <c r="G23" i="1"/>
  <c r="E23" i="1"/>
  <c r="C23" i="1"/>
  <c r="G24" i="1" l="1"/>
  <c r="H23" i="1"/>
  <c r="C24" i="1"/>
  <c r="D23" i="1"/>
  <c r="I26" i="1"/>
  <c r="J24" i="1"/>
  <c r="E24" i="1"/>
  <c r="E26" i="1" s="1"/>
  <c r="F23" i="1"/>
  <c r="G26" i="1" l="1"/>
  <c r="H24" i="1"/>
  <c r="C26" i="1"/>
  <c r="D24" i="1"/>
  <c r="I28" i="1"/>
  <c r="J28" i="1" s="1"/>
  <c r="J26" i="1"/>
  <c r="F24" i="1"/>
  <c r="E28" i="1"/>
  <c r="F28" i="1" s="1"/>
  <c r="F26" i="1"/>
  <c r="G28" i="1" l="1"/>
  <c r="H28" i="1" s="1"/>
  <c r="H26" i="1"/>
  <c r="C28" i="1"/>
  <c r="D28" i="1" s="1"/>
  <c r="D26" i="1"/>
</calcChain>
</file>

<file path=xl/sharedStrings.xml><?xml version="1.0" encoding="utf-8"?>
<sst xmlns="http://schemas.openxmlformats.org/spreadsheetml/2006/main" count="109" uniqueCount="103">
  <si>
    <t>しふと たろう</t>
  </si>
  <si>
    <t>工番</t>
  </si>
  <si>
    <t>関連工番</t>
  </si>
  <si>
    <t>工番名称</t>
  </si>
  <si>
    <t>発注者</t>
  </si>
  <si>
    <t>客先名</t>
  </si>
  <si>
    <t>契約工期</t>
  </si>
  <si>
    <t>当社請負区分</t>
  </si>
  <si>
    <t>元請</t>
  </si>
  <si>
    <t>仕事区分</t>
  </si>
  <si>
    <t>ステータス1</t>
  </si>
  <si>
    <t>仕様作成完</t>
  </si>
  <si>
    <t>設計承認日</t>
  </si>
  <si>
    <t>ステータス2</t>
  </si>
  <si>
    <t>積算承認日</t>
  </si>
  <si>
    <t>セグメント</t>
  </si>
  <si>
    <t>業種区分</t>
  </si>
  <si>
    <t>営業担当者</t>
  </si>
  <si>
    <t>備考</t>
  </si>
  <si>
    <t>工番伝票 1版</t>
  </si>
  <si>
    <t>比率</t>
  </si>
  <si>
    <t>基準予算 1版</t>
  </si>
  <si>
    <t>工番伝票 最新版数</t>
  </si>
  <si>
    <t>基準予算 最新版数</t>
  </si>
  <si>
    <t>Copyright SHIFT Inc, All Rights Reserved.</t>
  </si>
  <si>
    <t>しふと はなこ</t>
    <phoneticPr fontId="18"/>
  </si>
  <si>
    <r>
      <t xml:space="preserve">アイテム区分 </t>
    </r>
    <r>
      <rPr>
        <b/>
        <sz val="11"/>
        <color rgb="FFFF0000"/>
        <rFont val="Meiryo UI"/>
        <family val="3"/>
        <charset val="128"/>
      </rPr>
      <t>※</t>
    </r>
    <phoneticPr fontId="18"/>
  </si>
  <si>
    <r>
      <t xml:space="preserve">設計担当 </t>
    </r>
    <r>
      <rPr>
        <b/>
        <sz val="11"/>
        <color rgb="FFFF0000"/>
        <rFont val="Meiryo UI"/>
        <family val="3"/>
        <charset val="128"/>
      </rPr>
      <t>※</t>
    </r>
    <phoneticPr fontId="18"/>
  </si>
  <si>
    <r>
      <t xml:space="preserve">積算担当 </t>
    </r>
    <r>
      <rPr>
        <b/>
        <sz val="11"/>
        <color rgb="FFFF0000"/>
        <rFont val="Meiryo UI"/>
        <family val="3"/>
        <charset val="128"/>
      </rPr>
      <t>※</t>
    </r>
    <phoneticPr fontId="18"/>
  </si>
  <si>
    <r>
      <t xml:space="preserve">版数 </t>
    </r>
    <r>
      <rPr>
        <b/>
        <sz val="11"/>
        <color rgb="FFFF0000"/>
        <rFont val="Meiryo UI"/>
        <family val="3"/>
        <charset val="128"/>
      </rPr>
      <t>※</t>
    </r>
    <phoneticPr fontId="18"/>
  </si>
  <si>
    <t>前提条件あり</t>
    <phoneticPr fontId="18"/>
  </si>
  <si>
    <t>0090</t>
    <phoneticPr fontId="18"/>
  </si>
  <si>
    <t>管理G</t>
    <rPh sb="0" eb="2">
      <t>カンリ</t>
    </rPh>
    <phoneticPr fontId="18"/>
  </si>
  <si>
    <t>人事G</t>
    <rPh sb="0" eb="2">
      <t>ジンジ</t>
    </rPh>
    <phoneticPr fontId="18"/>
  </si>
  <si>
    <t>設計G</t>
    <phoneticPr fontId="18"/>
  </si>
  <si>
    <t>積算G</t>
    <phoneticPr fontId="18"/>
  </si>
  <si>
    <t>営業G</t>
    <rPh sb="0" eb="2">
      <t>エイギョウ</t>
    </rPh>
    <phoneticPr fontId="18"/>
  </si>
  <si>
    <t>品管G</t>
    <rPh sb="0" eb="1">
      <t>ヒン</t>
    </rPh>
    <phoneticPr fontId="18"/>
  </si>
  <si>
    <t>運用G</t>
    <rPh sb="0" eb="2">
      <t>ウンヨウ</t>
    </rPh>
    <phoneticPr fontId="18"/>
  </si>
  <si>
    <t>流通G</t>
    <rPh sb="0" eb="2">
      <t>リュウツウ</t>
    </rPh>
    <phoneticPr fontId="18"/>
  </si>
  <si>
    <t>企画G</t>
    <rPh sb="0" eb="2">
      <t>キカク</t>
    </rPh>
    <phoneticPr fontId="18"/>
  </si>
  <si>
    <t>広域G</t>
    <rPh sb="0" eb="2">
      <t>コウイキ</t>
    </rPh>
    <phoneticPr fontId="18"/>
  </si>
  <si>
    <r>
      <rPr>
        <b/>
        <sz val="11"/>
        <color rgb="FFFF0000"/>
        <rFont val="Meiryo UI"/>
        <family val="3"/>
        <charset val="128"/>
      </rPr>
      <t>※</t>
    </r>
    <r>
      <rPr>
        <sz val="11"/>
        <rFont val="Meiryo UI"/>
        <family val="3"/>
        <charset val="128"/>
      </rPr>
      <t>は必須項目です</t>
    </r>
    <rPh sb="2" eb="4">
      <t>ヒッス</t>
    </rPh>
    <rPh sb="4" eb="6">
      <t>コウモク</t>
    </rPh>
    <phoneticPr fontId="18"/>
  </si>
  <si>
    <t>C 限界利益(A-B)</t>
    <phoneticPr fontId="18"/>
  </si>
  <si>
    <t>E 工事利益(C-D)</t>
    <phoneticPr fontId="18"/>
  </si>
  <si>
    <t>G 営業利益(E-F)</t>
    <phoneticPr fontId="18"/>
  </si>
  <si>
    <t>0010</t>
    <phoneticPr fontId="18"/>
  </si>
  <si>
    <t>0020</t>
    <phoneticPr fontId="18"/>
  </si>
  <si>
    <t>0030</t>
    <phoneticPr fontId="18"/>
  </si>
  <si>
    <t>0040</t>
    <phoneticPr fontId="18"/>
  </si>
  <si>
    <t>0050</t>
    <phoneticPr fontId="18"/>
  </si>
  <si>
    <t>0060</t>
    <phoneticPr fontId="18"/>
  </si>
  <si>
    <t>0070</t>
    <phoneticPr fontId="18"/>
  </si>
  <si>
    <t>0080</t>
    <phoneticPr fontId="18"/>
  </si>
  <si>
    <t>0100</t>
    <phoneticPr fontId="18"/>
  </si>
  <si>
    <t>しふと たろう</t>
    <phoneticPr fontId="18"/>
  </si>
  <si>
    <t>とうきょう たろう</t>
    <phoneticPr fontId="18"/>
  </si>
  <si>
    <t>とうきょう はなこ</t>
    <phoneticPr fontId="18"/>
  </si>
  <si>
    <t>さっぽろ たろう</t>
    <phoneticPr fontId="18"/>
  </si>
  <si>
    <t>さっぽろ はなこ</t>
    <phoneticPr fontId="18"/>
  </si>
  <si>
    <t>なごや たろう</t>
    <phoneticPr fontId="18"/>
  </si>
  <si>
    <t>なごや はなこ</t>
    <phoneticPr fontId="18"/>
  </si>
  <si>
    <t>おおさか たろう</t>
    <phoneticPr fontId="18"/>
  </si>
  <si>
    <t>おおさか はなこ</t>
    <phoneticPr fontId="18"/>
  </si>
  <si>
    <t>ふくおか たろう</t>
    <phoneticPr fontId="18"/>
  </si>
  <si>
    <t>ふくおか はなこ</t>
    <phoneticPr fontId="18"/>
  </si>
  <si>
    <t>2020/11/01〜2020/11/30</t>
    <phoneticPr fontId="18"/>
  </si>
  <si>
    <t>基準予算（鑑）</t>
    <phoneticPr fontId="18"/>
  </si>
  <si>
    <t>設計積算</t>
    <rPh sb="2" eb="4">
      <t>セキサン</t>
    </rPh>
    <phoneticPr fontId="18"/>
  </si>
  <si>
    <t>A 工番金額(税抜)</t>
    <phoneticPr fontId="18"/>
  </si>
  <si>
    <t>00001</t>
    <phoneticPr fontId="18"/>
  </si>
  <si>
    <t>00002</t>
    <phoneticPr fontId="18"/>
  </si>
  <si>
    <t>00003</t>
    <phoneticPr fontId="18"/>
  </si>
  <si>
    <t>00004</t>
    <phoneticPr fontId="18"/>
  </si>
  <si>
    <t>00005</t>
    <phoneticPr fontId="18"/>
  </si>
  <si>
    <t>00006</t>
    <phoneticPr fontId="18"/>
  </si>
  <si>
    <t>00007</t>
    <phoneticPr fontId="18"/>
  </si>
  <si>
    <t>00008</t>
    <phoneticPr fontId="18"/>
  </si>
  <si>
    <t>00009</t>
    <phoneticPr fontId="18"/>
  </si>
  <si>
    <t>00010</t>
    <phoneticPr fontId="18"/>
  </si>
  <si>
    <t>00011</t>
    <phoneticPr fontId="18"/>
  </si>
  <si>
    <t>00012</t>
    <phoneticPr fontId="18"/>
  </si>
  <si>
    <t>00001 しふと たろう</t>
    <phoneticPr fontId="18"/>
  </si>
  <si>
    <t>機器・工事費</t>
    <phoneticPr fontId="18"/>
  </si>
  <si>
    <t>直接経費他</t>
    <phoneticPr fontId="18"/>
  </si>
  <si>
    <t>直接販売費</t>
    <phoneticPr fontId="18"/>
  </si>
  <si>
    <t>B 変動費 計</t>
    <phoneticPr fontId="18"/>
  </si>
  <si>
    <t>D 設管理費</t>
    <phoneticPr fontId="18"/>
  </si>
  <si>
    <t>F 営業費・本社費</t>
    <phoneticPr fontId="18"/>
  </si>
  <si>
    <t>未選択</t>
    <phoneticPr fontId="18"/>
  </si>
  <si>
    <t>神谷町メソニック39MTビル設備工事</t>
    <phoneticPr fontId="18"/>
  </si>
  <si>
    <t>80210001 00</t>
    <phoneticPr fontId="18"/>
  </si>
  <si>
    <t>63104100 00</t>
    <phoneticPr fontId="18"/>
  </si>
  <si>
    <t>66001200 00</t>
    <phoneticPr fontId="18"/>
  </si>
  <si>
    <t>61512300 00</t>
    <phoneticPr fontId="18"/>
  </si>
  <si>
    <t>SHIFT</t>
    <phoneticPr fontId="18"/>
  </si>
  <si>
    <t>SHIFT／神谷町メソニック39MTビル</t>
    <phoneticPr fontId="18"/>
  </si>
  <si>
    <t>10 設備工事</t>
    <rPh sb="3" eb="5">
      <t>セツビ</t>
    </rPh>
    <rPh sb="5" eb="7">
      <t>コウジ</t>
    </rPh>
    <phoneticPr fontId="18"/>
  </si>
  <si>
    <t>E：電気</t>
    <rPh sb="2" eb="4">
      <t>デンキ</t>
    </rPh>
    <phoneticPr fontId="18"/>
  </si>
  <si>
    <t>積算中</t>
    <phoneticPr fontId="18"/>
  </si>
  <si>
    <t>EPC</t>
    <phoneticPr fontId="18"/>
  </si>
  <si>
    <t>0000</t>
    <phoneticPr fontId="18"/>
  </si>
  <si>
    <t>※版数を入力してください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</si>
</sst>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_ ;[Red]\-0\ "/>
  </numFmts>
  <fonts count="3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737373"/>
      <name val="Meiryo UI"/>
      <family val="3"/>
      <charset val="128"/>
    </font>
    <font>
      <b/>
      <sz val="11"/>
      <color rgb="FF333333"/>
      <name val="Meiryo UI"/>
      <family val="3"/>
      <charset val="128"/>
    </font>
    <font>
      <sz val="11"/>
      <color rgb="FFFFFFFF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12"/>
      <color theme="0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name val="Meiryo UI"/>
      <family val="3"/>
      <charset val="128"/>
    </font>
    <font>
      <sz val="11"/>
      <name val="游ゴシック"/>
      <family val="2"/>
      <charset val="128"/>
      <scheme val="minor"/>
    </font>
    <font>
      <b/>
      <sz val="11"/>
      <color rgb="FFFFFFFF"/>
      <name val="Meiryo UI"/>
      <family val="3"/>
      <charset val="128"/>
    </font>
    <font>
      <b/>
      <sz val="14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4"/>
      <color rgb="FF333333"/>
      <name val="Meiryo UI"/>
      <family val="3"/>
      <charset val="128"/>
    </font>
    <font>
      <sz val="11"/>
      <color rgb="FF000000"/>
      <name val="Meiryo UI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DEF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45A63"/>
        <bgColor indexed="64"/>
      </patternFill>
    </fill>
    <fill>
      <patternFill patternType="solid">
        <fgColor rgb="FFF7F9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C0C0C0"/>
      </bottom>
      <diagonal/>
    </border>
    <border>
      <left/>
      <right/>
      <top/>
      <bottom style="medium">
        <color rgb="FFEDEFF1"/>
      </bottom>
      <diagonal/>
    </border>
    <border>
      <left/>
      <right/>
      <top/>
      <bottom style="medium">
        <color rgb="FFFFFFFF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49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1" fillId="0" borderId="0" xfId="0" applyFont="1" applyAlignment="1">
      <alignment horizontal="left" vertical="center"/>
    </xf>
    <xf numFmtId="0" fontId="28" fillId="5" borderId="4" xfId="9" applyFont="1" applyProtection="1">
      <alignment vertical="center"/>
      <protection locked="0"/>
    </xf>
    <xf numFmtId="49" fontId="28" fillId="5" borderId="4" xfId="9" applyNumberFormat="1" applyFont="1" applyAlignment="1" applyProtection="1">
      <alignment horizontal="left" vertical="center" wrapText="1"/>
      <protection locked="0"/>
    </xf>
    <xf numFmtId="0" fontId="19" fillId="39" borderId="0" xfId="0" applyFont="1" applyFill="1" applyProtection="1">
      <alignment vertical="center"/>
      <protection locked="0"/>
    </xf>
    <xf numFmtId="3" fontId="27" fillId="37" borderId="13" xfId="0" applyNumberFormat="1" applyFont="1" applyFill="1" applyBorder="1" applyAlignment="1" applyProtection="1">
      <alignment vertical="center" wrapText="1"/>
      <protection locked="0"/>
    </xf>
    <xf numFmtId="0" fontId="23" fillId="35" borderId="0" xfId="0" applyFont="1" applyFill="1">
      <alignment vertical="center"/>
    </xf>
    <xf numFmtId="0" fontId="22" fillId="35" borderId="0" xfId="0" applyFont="1" applyFill="1">
      <alignment vertical="center"/>
    </xf>
    <xf numFmtId="0" fontId="24" fillId="35" borderId="0" xfId="0" applyFont="1" applyFill="1">
      <alignment vertical="center"/>
    </xf>
    <xf numFmtId="0" fontId="19" fillId="0" borderId="0" xfId="0" applyFont="1">
      <alignment vertical="center"/>
    </xf>
    <xf numFmtId="0" fontId="19" fillId="33" borderId="0" xfId="0" applyFont="1" applyFill="1">
      <alignment vertical="center"/>
    </xf>
    <xf numFmtId="0" fontId="19" fillId="38" borderId="0" xfId="0" applyFont="1" applyFill="1" applyAlignment="1">
      <alignment horizontal="left" vertical="center" indent="1"/>
    </xf>
    <xf numFmtId="0" fontId="19" fillId="38" borderId="0" xfId="0" applyFont="1" applyFill="1">
      <alignment vertical="center"/>
    </xf>
    <xf numFmtId="0" fontId="32" fillId="38" borderId="0" xfId="0" applyFont="1" applyFill="1" applyAlignment="1">
      <alignment horizontal="left" vertical="center" indent="1"/>
    </xf>
    <xf numFmtId="0" fontId="19" fillId="38" borderId="0" xfId="0" applyFont="1" applyFill="1" applyAlignment="1"/>
    <xf numFmtId="0" fontId="26" fillId="38" borderId="0" xfId="0" applyFont="1" applyFill="1" applyAlignment="1">
      <alignment vertical="center" wrapText="1"/>
    </xf>
    <xf numFmtId="0" fontId="20" fillId="34" borderId="10" xfId="0" applyFont="1" applyFill="1" applyBorder="1" applyAlignment="1">
      <alignment horizontal="left" vertical="center" wrapText="1"/>
    </xf>
    <xf numFmtId="0" fontId="27" fillId="34" borderId="0" xfId="0" applyFont="1" applyFill="1" applyAlignment="1">
      <alignment vertical="center" wrapText="1"/>
    </xf>
    <xf numFmtId="0" fontId="25" fillId="34" borderId="10" xfId="0" applyFont="1" applyFill="1" applyBorder="1" applyAlignment="1">
      <alignment horizontal="left" vertical="center" wrapText="1"/>
    </xf>
    <xf numFmtId="14" fontId="27" fillId="34" borderId="0" xfId="0" applyNumberFormat="1" applyFont="1" applyFill="1" applyAlignment="1">
      <alignment vertical="center" wrapText="1"/>
    </xf>
    <xf numFmtId="0" fontId="27" fillId="38" borderId="0" xfId="0" applyFont="1" applyFill="1">
      <alignment vertical="center"/>
    </xf>
    <xf numFmtId="3" fontId="27" fillId="0" borderId="15" xfId="0" applyNumberFormat="1" applyFont="1" applyBorder="1" applyAlignment="1">
      <alignment vertical="center" wrapText="1"/>
    </xf>
    <xf numFmtId="176" fontId="27" fillId="0" borderId="15" xfId="0" applyNumberFormat="1" applyFont="1" applyBorder="1" applyAlignment="1">
      <alignment vertical="center" wrapText="1"/>
    </xf>
    <xf numFmtId="9" fontId="27" fillId="0" borderId="15" xfId="0" applyNumberFormat="1" applyFont="1" applyBorder="1" applyAlignment="1">
      <alignment vertical="center" wrapText="1"/>
    </xf>
    <xf numFmtId="9" fontId="27" fillId="34" borderId="15" xfId="0" applyNumberFormat="1" applyFont="1" applyFill="1" applyBorder="1" applyAlignment="1">
      <alignment vertical="center" wrapText="1"/>
    </xf>
    <xf numFmtId="0" fontId="27" fillId="33" borderId="11" xfId="0" applyFont="1" applyFill="1" applyBorder="1" applyAlignment="1">
      <alignment horizontal="left" vertical="center" wrapText="1" indent="1"/>
    </xf>
    <xf numFmtId="0" fontId="27" fillId="36" borderId="12" xfId="0" applyFont="1" applyFill="1" applyBorder="1" applyAlignment="1">
      <alignment horizontal="left" vertical="center" wrapText="1" indent="1"/>
    </xf>
    <xf numFmtId="176" fontId="27" fillId="36" borderId="13" xfId="0" applyNumberFormat="1" applyFont="1" applyFill="1" applyBorder="1" applyAlignment="1">
      <alignment vertical="center" wrapText="1"/>
    </xf>
    <xf numFmtId="3" fontId="27" fillId="34" borderId="13" xfId="0" applyNumberFormat="1" applyFont="1" applyFill="1" applyBorder="1" applyAlignment="1">
      <alignment vertical="center" wrapText="1"/>
    </xf>
    <xf numFmtId="38" fontId="27" fillId="33" borderId="13" xfId="0" applyNumberFormat="1" applyFont="1" applyFill="1" applyBorder="1" applyAlignment="1">
      <alignment vertical="center" wrapText="1"/>
    </xf>
    <xf numFmtId="38" fontId="27" fillId="36" borderId="13" xfId="0" applyNumberFormat="1" applyFont="1" applyFill="1" applyBorder="1" applyAlignment="1">
      <alignment vertical="center" wrapText="1"/>
    </xf>
    <xf numFmtId="3" fontId="27" fillId="36" borderId="13" xfId="0" applyNumberFormat="1" applyFont="1" applyFill="1" applyBorder="1" applyAlignment="1">
      <alignment vertical="center" wrapText="1"/>
    </xf>
    <xf numFmtId="0" fontId="28" fillId="37" borderId="4" xfId="9" applyFont="1" applyFill="1" applyAlignment="1" applyProtection="1">
      <alignment vertical="center" wrapText="1"/>
      <protection locked="0"/>
    </xf>
    <xf numFmtId="177" fontId="27" fillId="0" borderId="15" xfId="0" applyNumberFormat="1" applyFont="1" applyBorder="1" applyAlignment="1">
      <alignment vertical="center" wrapText="1"/>
    </xf>
    <xf numFmtId="0" fontId="29" fillId="35" borderId="14" xfId="0" applyFont="1" applyFill="1" applyBorder="1" applyAlignment="1">
      <alignment horizontal="center" vertical="center" wrapText="1"/>
    </xf>
    <xf numFmtId="0" fontId="26" fillId="38" borderId="0" xfId="0" applyFont="1" applyFill="1" applyProtection="1">
      <alignment vertical="center"/>
      <protection locked="0"/>
    </xf>
    <xf numFmtId="22" fontId="24" fillId="35" borderId="0" xfId="0" applyNumberFormat="1" applyFont="1" applyFill="1" applyAlignment="1">
      <alignment horizontal="left" vertical="center"/>
    </xf>
    <xf numFmtId="0" fontId="27" fillId="33" borderId="0" xfId="0" applyFont="1" applyFill="1" applyAlignment="1">
      <alignment horizontal="left" vertical="center" wrapText="1" indent="1"/>
    </xf>
    <xf numFmtId="0" fontId="21" fillId="35" borderId="0" xfId="0" applyFont="1" applyFill="1" applyAlignment="1">
      <alignment vertical="center" wrapText="1"/>
    </xf>
    <xf numFmtId="0" fontId="27" fillId="34" borderId="0" xfId="0" applyFont="1" applyFill="1" applyAlignment="1">
      <alignment horizontal="left" vertical="center" wrapText="1" indent="1"/>
    </xf>
    <xf numFmtId="0" fontId="27" fillId="34" borderId="0" xfId="0" applyFont="1" applyFill="1" applyAlignment="1">
      <alignment vertical="center" wrapText="1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5"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5A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15</xdr:row>
          <xdr:rowOff>60960</xdr:rowOff>
        </xdr:from>
        <xdr:to>
          <xdr:col>7</xdr:col>
          <xdr:colOff>1371600</xdr:colOff>
          <xdr:row>15</xdr:row>
          <xdr:rowOff>312420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45720</xdr:rowOff>
        </xdr:from>
        <xdr:to>
          <xdr:col>1</xdr:col>
          <xdr:colOff>1234440</xdr:colOff>
          <xdr:row>0</xdr:row>
          <xdr:rowOff>289560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"/>
  <sheetViews>
    <sheetView showGridLines="0" tabSelected="1" zoomScale="70" zoomScaleNormal="70" workbookViewId="0">
      <selection activeCell="G10" sqref="G10"/>
    </sheetView>
  </sheetViews>
  <sheetFormatPr defaultColWidth="8.69921875" defaultRowHeight="15" x14ac:dyDescent="0.45"/>
  <cols>
    <col min="1" max="10" width="18.59765625" style="12" customWidth="1"/>
    <col min="11" max="11" width="5.3984375" style="12" customWidth="1"/>
    <col min="12" max="16384" width="8.69921875" style="12"/>
  </cols>
  <sheetData>
    <row r="1" spans="1:16" s="13" customFormat="1" ht="25.5" customHeight="1" x14ac:dyDescent="0.45">
      <c r="A1" s="9" t="s">
        <v>68</v>
      </c>
      <c r="B1" s="10"/>
      <c r="C1" s="10"/>
      <c r="D1" s="10"/>
      <c r="E1" s="10"/>
      <c r="F1" s="10"/>
      <c r="G1" s="10"/>
      <c r="H1" s="10"/>
      <c r="I1" s="11" t="s">
        <v>0</v>
      </c>
      <c r="J1" s="39">
        <v>44127.541666666664</v>
      </c>
      <c r="K1" s="39"/>
      <c r="L1" s="12"/>
      <c r="M1" s="12"/>
      <c r="N1" s="12"/>
      <c r="O1" s="12"/>
      <c r="P1" s="12"/>
    </row>
    <row r="2" spans="1:16" s="13" customFormat="1" ht="6.45" customHeight="1" x14ac:dyDescent="0.45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2"/>
      <c r="M2" s="12"/>
      <c r="N2" s="12"/>
      <c r="O2" s="12"/>
      <c r="P2" s="12"/>
    </row>
    <row r="3" spans="1:16" s="13" customFormat="1" ht="18.600000000000001" x14ac:dyDescent="0.3">
      <c r="A3" s="16" t="s">
        <v>67</v>
      </c>
      <c r="B3" s="17" t="s">
        <v>42</v>
      </c>
      <c r="C3" s="15"/>
      <c r="D3" s="15"/>
      <c r="E3" s="15"/>
      <c r="F3" s="15"/>
      <c r="G3" s="15"/>
      <c r="H3" s="15"/>
      <c r="I3" s="15"/>
      <c r="J3" s="15"/>
      <c r="K3" s="15"/>
      <c r="L3" s="12"/>
      <c r="M3" s="12"/>
      <c r="N3" s="12"/>
      <c r="O3" s="12"/>
      <c r="P3" s="12"/>
    </row>
    <row r="4" spans="1:16" s="13" customFormat="1" ht="14.55" customHeight="1" x14ac:dyDescent="0.45">
      <c r="A4" s="14"/>
      <c r="B4" s="15"/>
      <c r="C4" s="18"/>
      <c r="D4" s="18"/>
      <c r="E4" s="18"/>
      <c r="F4" s="18"/>
      <c r="G4" s="18"/>
      <c r="H4" s="18"/>
      <c r="I4" s="15"/>
      <c r="J4" s="15"/>
      <c r="K4" s="15"/>
      <c r="L4" s="12"/>
      <c r="M4" s="12"/>
      <c r="N4" s="12"/>
      <c r="O4" s="12"/>
      <c r="P4" s="12"/>
    </row>
    <row r="5" spans="1:16" s="13" customFormat="1" ht="18" customHeight="1" thickBot="1" x14ac:dyDescent="0.5">
      <c r="A5" s="19" t="s">
        <v>1</v>
      </c>
      <c r="B5" s="43" t="s">
        <v>91</v>
      </c>
      <c r="C5" s="43"/>
      <c r="D5" s="43"/>
      <c r="E5" s="15"/>
      <c r="F5" s="19" t="s">
        <v>10</v>
      </c>
      <c r="G5" s="20" t="s">
        <v>11</v>
      </c>
      <c r="H5" s="20"/>
      <c r="I5" s="21" t="s">
        <v>12</v>
      </c>
      <c r="J5" s="22">
        <v>44120</v>
      </c>
      <c r="K5" s="15"/>
      <c r="L5" s="12"/>
      <c r="M5" s="12"/>
      <c r="N5" s="12"/>
      <c r="O5" s="12"/>
      <c r="P5" s="12"/>
    </row>
    <row r="6" spans="1:16" s="13" customFormat="1" ht="18" customHeight="1" thickBot="1" x14ac:dyDescent="0.5">
      <c r="A6" s="19" t="s">
        <v>2</v>
      </c>
      <c r="B6" s="20" t="s">
        <v>92</v>
      </c>
      <c r="C6" s="20" t="s">
        <v>93</v>
      </c>
      <c r="D6" s="20" t="s">
        <v>94</v>
      </c>
      <c r="E6" s="15"/>
      <c r="F6" s="19" t="s">
        <v>13</v>
      </c>
      <c r="G6" s="20" t="s">
        <v>99</v>
      </c>
      <c r="H6" s="20"/>
      <c r="I6" s="21" t="s">
        <v>14</v>
      </c>
      <c r="J6" s="20"/>
      <c r="K6" s="15"/>
      <c r="L6" s="12"/>
      <c r="M6" s="12"/>
      <c r="N6" s="12"/>
      <c r="O6" s="12"/>
      <c r="P6" s="12"/>
    </row>
    <row r="7" spans="1:16" s="13" customFormat="1" ht="18" customHeight="1" thickBot="1" x14ac:dyDescent="0.5">
      <c r="A7" s="19" t="s">
        <v>3</v>
      </c>
      <c r="B7" s="43" t="s">
        <v>90</v>
      </c>
      <c r="C7" s="43"/>
      <c r="D7" s="43"/>
      <c r="E7" s="15"/>
      <c r="F7" s="19" t="s">
        <v>15</v>
      </c>
      <c r="G7" s="20" t="s">
        <v>100</v>
      </c>
      <c r="H7" s="20"/>
      <c r="I7" s="21" t="s">
        <v>16</v>
      </c>
      <c r="J7" s="20" t="s">
        <v>98</v>
      </c>
      <c r="K7" s="15"/>
      <c r="L7" s="12"/>
      <c r="M7" s="12"/>
      <c r="N7" s="12"/>
      <c r="O7" s="12"/>
      <c r="P7" s="12"/>
    </row>
    <row r="8" spans="1:16" s="13" customFormat="1" ht="18" customHeight="1" thickBot="1" x14ac:dyDescent="0.5">
      <c r="A8" s="19" t="s">
        <v>4</v>
      </c>
      <c r="B8" s="43" t="s">
        <v>95</v>
      </c>
      <c r="C8" s="43"/>
      <c r="D8" s="43"/>
      <c r="E8" s="15"/>
      <c r="F8" s="19" t="s">
        <v>17</v>
      </c>
      <c r="G8" s="20" t="s">
        <v>82</v>
      </c>
      <c r="H8" s="20"/>
      <c r="I8" s="21" t="s">
        <v>29</v>
      </c>
      <c r="J8" s="5"/>
      <c r="K8" s="15"/>
      <c r="L8" s="12"/>
      <c r="M8" s="12"/>
      <c r="N8" s="12"/>
      <c r="O8" s="12"/>
      <c r="P8" s="12"/>
    </row>
    <row r="9" spans="1:16" s="13" customFormat="1" ht="18" customHeight="1" thickBot="1" x14ac:dyDescent="0.5">
      <c r="A9" s="19" t="s">
        <v>5</v>
      </c>
      <c r="B9" s="43" t="s">
        <v>96</v>
      </c>
      <c r="C9" s="43"/>
      <c r="D9" s="43"/>
      <c r="E9" s="15"/>
      <c r="F9" s="15"/>
      <c r="G9" s="23"/>
      <c r="H9" s="23"/>
      <c r="I9" s="23"/>
      <c r="J9" s="38" t="s">
        <v>102</v>
      </c>
      <c r="K9" s="15"/>
      <c r="L9" s="12"/>
      <c r="M9" s="12"/>
      <c r="N9" s="12"/>
      <c r="O9" s="12"/>
      <c r="P9" s="12"/>
    </row>
    <row r="10" spans="1:16" s="13" customFormat="1" ht="18" customHeight="1" thickBot="1" x14ac:dyDescent="0.5">
      <c r="A10" s="19" t="s">
        <v>6</v>
      </c>
      <c r="B10" s="43" t="s">
        <v>66</v>
      </c>
      <c r="C10" s="43"/>
      <c r="D10" s="43"/>
      <c r="E10" s="15"/>
      <c r="F10" s="19" t="s">
        <v>27</v>
      </c>
      <c r="G10" s="6" t="s">
        <v>101</v>
      </c>
      <c r="H10" s="20" t="str">
        <f>IF(G10="", "", IFERROR(VLOOKUP(G10, DATA!$A$1:$B$10, 2, FALSE), "見つかりません"))</f>
        <v>見つかりません</v>
      </c>
      <c r="I10" s="6" t="s">
        <v>72</v>
      </c>
      <c r="J10" s="20" t="str">
        <f>IF(I10="", "", IFERROR(VLOOKUP(I10, DATA!$D$1:$E$12, 2, FALSE), ""))</f>
        <v>とうきょう たろう</v>
      </c>
      <c r="K10" s="15"/>
      <c r="L10" s="12"/>
      <c r="M10" s="12"/>
      <c r="N10" s="12"/>
      <c r="O10" s="12"/>
      <c r="P10" s="12"/>
    </row>
    <row r="11" spans="1:16" s="13" customFormat="1" ht="18" customHeight="1" thickBot="1" x14ac:dyDescent="0.5">
      <c r="A11" s="19" t="s">
        <v>7</v>
      </c>
      <c r="B11" s="20" t="s">
        <v>8</v>
      </c>
      <c r="C11" s="23"/>
      <c r="D11" s="23"/>
      <c r="E11" s="15"/>
      <c r="F11" s="15"/>
      <c r="G11" s="38"/>
      <c r="H11" s="15"/>
      <c r="I11" s="38"/>
      <c r="J11" s="15"/>
      <c r="K11" s="15"/>
      <c r="L11" s="12"/>
      <c r="M11" s="12"/>
      <c r="N11" s="12"/>
      <c r="O11" s="12"/>
      <c r="P11" s="12"/>
    </row>
    <row r="12" spans="1:16" s="13" customFormat="1" ht="18" customHeight="1" thickBot="1" x14ac:dyDescent="0.5">
      <c r="A12" s="19" t="s">
        <v>9</v>
      </c>
      <c r="B12" s="20" t="s">
        <v>97</v>
      </c>
      <c r="C12" s="23"/>
      <c r="D12" s="23"/>
      <c r="E12" s="15"/>
      <c r="F12" s="19" t="s">
        <v>28</v>
      </c>
      <c r="G12" s="6" t="s">
        <v>53</v>
      </c>
      <c r="H12" s="20" t="str">
        <f>IF(G12="", "", IFERROR(VLOOKUP(G12, DATA!$A$2:$B$11, 2, FALSE), "見つかりません"))</f>
        <v>積算G</v>
      </c>
      <c r="I12" s="6" t="s">
        <v>75</v>
      </c>
      <c r="J12" s="20" t="str">
        <f>IF(I12="", "", IFERROR(VLOOKUP(I12, DATA!$D$1:$E$12, 2, FALSE), "見つかりません"))</f>
        <v>さっぽろ はなこ</v>
      </c>
      <c r="K12" s="15"/>
      <c r="L12" s="12"/>
      <c r="M12" s="12"/>
      <c r="N12" s="12"/>
      <c r="O12" s="12"/>
      <c r="P12" s="12"/>
    </row>
    <row r="13" spans="1:16" s="13" customFormat="1" ht="18" customHeight="1" thickBot="1" x14ac:dyDescent="0.5">
      <c r="A13" s="19" t="s">
        <v>26</v>
      </c>
      <c r="B13" s="35" t="s">
        <v>89</v>
      </c>
      <c r="C13" s="23"/>
      <c r="D13" s="23"/>
      <c r="E13" s="15"/>
      <c r="F13" s="15"/>
      <c r="G13" s="38"/>
      <c r="H13" s="15"/>
      <c r="I13" s="38"/>
      <c r="J13" s="15"/>
      <c r="K13" s="15"/>
      <c r="L13" s="12"/>
      <c r="M13" s="12"/>
      <c r="N13" s="12"/>
      <c r="O13" s="12"/>
      <c r="P13" s="12"/>
    </row>
    <row r="14" spans="1:16" s="13" customFormat="1" ht="18" customHeight="1" thickBot="1" x14ac:dyDescent="0.5">
      <c r="A14" s="15"/>
      <c r="B14" s="38"/>
      <c r="C14" s="15"/>
      <c r="D14" s="15"/>
      <c r="E14" s="15"/>
      <c r="F14" s="19" t="s">
        <v>18</v>
      </c>
      <c r="G14" s="20" t="s">
        <v>30</v>
      </c>
      <c r="H14" s="20"/>
      <c r="I14" s="20"/>
      <c r="J14" s="20"/>
      <c r="K14" s="15"/>
      <c r="L14" s="12"/>
      <c r="M14" s="12"/>
      <c r="N14" s="12"/>
      <c r="O14" s="12"/>
      <c r="P14" s="12"/>
    </row>
    <row r="15" spans="1:16" s="13" customFormat="1" ht="14.55" customHeight="1" x14ac:dyDescent="0.4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2"/>
      <c r="M15" s="12"/>
      <c r="N15" s="12"/>
      <c r="O15" s="12"/>
      <c r="P15" s="12"/>
    </row>
    <row r="16" spans="1:16" s="13" customFormat="1" ht="28.5" customHeight="1" x14ac:dyDescent="0.45">
      <c r="A16" s="15"/>
      <c r="B16" s="15"/>
      <c r="C16" s="15"/>
      <c r="D16" s="15"/>
      <c r="E16" s="15"/>
      <c r="F16" s="15"/>
      <c r="G16" s="15"/>
      <c r="H16" s="7"/>
      <c r="I16" s="15"/>
      <c r="J16" s="15"/>
      <c r="K16" s="15"/>
      <c r="L16" s="12"/>
      <c r="M16" s="12"/>
      <c r="N16" s="12"/>
      <c r="O16" s="12"/>
      <c r="P16" s="12"/>
    </row>
    <row r="17" spans="1:16" s="13" customFormat="1" ht="13.95" customHeight="1" x14ac:dyDescent="0.4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2"/>
      <c r="M17" s="12"/>
      <c r="N17" s="12"/>
      <c r="O17" s="12"/>
      <c r="P17" s="12"/>
    </row>
    <row r="18" spans="1:16" s="13" customFormat="1" x14ac:dyDescent="0.45">
      <c r="A18" s="41"/>
      <c r="B18" s="41"/>
      <c r="C18" s="37" t="s">
        <v>19</v>
      </c>
      <c r="D18" s="37" t="s">
        <v>20</v>
      </c>
      <c r="E18" s="37" t="s">
        <v>21</v>
      </c>
      <c r="F18" s="37" t="s">
        <v>20</v>
      </c>
      <c r="G18" s="37" t="s">
        <v>22</v>
      </c>
      <c r="H18" s="37" t="s">
        <v>20</v>
      </c>
      <c r="I18" s="37" t="s">
        <v>23</v>
      </c>
      <c r="J18" s="37" t="s">
        <v>20</v>
      </c>
      <c r="K18" s="15"/>
      <c r="L18" s="12"/>
      <c r="M18" s="12"/>
      <c r="N18" s="12"/>
      <c r="O18" s="12"/>
      <c r="P18" s="12"/>
    </row>
    <row r="19" spans="1:16" s="13" customFormat="1" x14ac:dyDescent="0.45">
      <c r="A19" s="42" t="s">
        <v>69</v>
      </c>
      <c r="B19" s="42"/>
      <c r="C19" s="24">
        <v>160000000</v>
      </c>
      <c r="D19" s="25">
        <v>1</v>
      </c>
      <c r="E19" s="24">
        <v>160000000</v>
      </c>
      <c r="F19" s="26">
        <v>1</v>
      </c>
      <c r="G19" s="36">
        <v>160000000</v>
      </c>
      <c r="H19" s="26">
        <v>1</v>
      </c>
      <c r="I19" s="24">
        <v>160000000</v>
      </c>
      <c r="J19" s="27">
        <v>1</v>
      </c>
      <c r="K19" s="15"/>
      <c r="L19" s="12"/>
      <c r="M19" s="12"/>
      <c r="N19" s="12"/>
      <c r="O19" s="12"/>
      <c r="P19" s="12"/>
    </row>
    <row r="20" spans="1:16" s="13" customFormat="1" ht="15.6" thickBot="1" x14ac:dyDescent="0.5">
      <c r="A20" s="28"/>
      <c r="B20" s="29" t="s">
        <v>83</v>
      </c>
      <c r="C20" s="8">
        <v>45000000</v>
      </c>
      <c r="D20" s="30">
        <f>ROUND(C20/C$19, 3)</f>
        <v>0.28100000000000003</v>
      </c>
      <c r="E20" s="8">
        <v>45000000</v>
      </c>
      <c r="F20" s="30">
        <f>ROUND(E20/E$19, 3)</f>
        <v>0.28100000000000003</v>
      </c>
      <c r="G20" s="8">
        <v>45000000</v>
      </c>
      <c r="H20" s="30">
        <f>ROUND(G20/G$19, 3)</f>
        <v>0.28100000000000003</v>
      </c>
      <c r="I20" s="8">
        <v>45000000</v>
      </c>
      <c r="J20" s="30">
        <f>ROUND(I20/I$19, 3)</f>
        <v>0.28100000000000003</v>
      </c>
      <c r="K20" s="15"/>
      <c r="L20" s="12"/>
      <c r="M20" s="12"/>
      <c r="N20" s="12"/>
      <c r="O20" s="12"/>
      <c r="P20" s="12"/>
    </row>
    <row r="21" spans="1:16" s="13" customFormat="1" ht="15.6" thickBot="1" x14ac:dyDescent="0.5">
      <c r="A21" s="28"/>
      <c r="B21" s="29" t="s">
        <v>84</v>
      </c>
      <c r="C21" s="8">
        <v>10000000</v>
      </c>
      <c r="D21" s="30">
        <f t="shared" ref="D21:F28" si="0">ROUND(C21/C$19, 3)</f>
        <v>6.3E-2</v>
      </c>
      <c r="E21" s="8">
        <v>10000000</v>
      </c>
      <c r="F21" s="30">
        <f t="shared" si="0"/>
        <v>6.3E-2</v>
      </c>
      <c r="G21" s="8">
        <v>10000000</v>
      </c>
      <c r="H21" s="30">
        <f t="shared" ref="H21" si="1">ROUND(G21/G$19, 3)</f>
        <v>6.3E-2</v>
      </c>
      <c r="I21" s="8">
        <v>10000000</v>
      </c>
      <c r="J21" s="30">
        <f t="shared" ref="J21" si="2">ROUND(I21/I$19, 3)</f>
        <v>6.3E-2</v>
      </c>
      <c r="K21" s="15"/>
      <c r="L21" s="12"/>
      <c r="M21" s="12"/>
      <c r="N21" s="12"/>
      <c r="O21" s="12"/>
      <c r="P21" s="12"/>
    </row>
    <row r="22" spans="1:16" s="13" customFormat="1" ht="15.6" thickBot="1" x14ac:dyDescent="0.5">
      <c r="A22" s="28"/>
      <c r="B22" s="29" t="s">
        <v>85</v>
      </c>
      <c r="C22" s="8">
        <v>310000</v>
      </c>
      <c r="D22" s="30">
        <f t="shared" si="0"/>
        <v>2E-3</v>
      </c>
      <c r="E22" s="8">
        <v>310000</v>
      </c>
      <c r="F22" s="30">
        <f t="shared" si="0"/>
        <v>2E-3</v>
      </c>
      <c r="G22" s="8">
        <v>310000</v>
      </c>
      <c r="H22" s="30">
        <f t="shared" ref="H22" si="3">ROUND(G22/G$19, 3)</f>
        <v>2E-3</v>
      </c>
      <c r="I22" s="8">
        <v>310000</v>
      </c>
      <c r="J22" s="30">
        <f t="shared" ref="J22" si="4">ROUND(I22/I$19, 3)</f>
        <v>2E-3</v>
      </c>
      <c r="K22" s="15"/>
      <c r="L22" s="12"/>
      <c r="M22" s="12"/>
      <c r="N22" s="12"/>
      <c r="O22" s="12"/>
      <c r="P22" s="12"/>
    </row>
    <row r="23" spans="1:16" s="13" customFormat="1" x14ac:dyDescent="0.45">
      <c r="A23" s="42" t="s">
        <v>86</v>
      </c>
      <c r="B23" s="42"/>
      <c r="C23" s="31">
        <f>SUM(C20:C22)</f>
        <v>55310000</v>
      </c>
      <c r="D23" s="30">
        <f t="shared" si="0"/>
        <v>0.34599999999999997</v>
      </c>
      <c r="E23" s="31">
        <f t="shared" ref="E23:G23" si="5">SUM(E20:E22)</f>
        <v>55310000</v>
      </c>
      <c r="F23" s="30">
        <f t="shared" si="0"/>
        <v>0.34599999999999997</v>
      </c>
      <c r="G23" s="31">
        <f t="shared" si="5"/>
        <v>55310000</v>
      </c>
      <c r="H23" s="30">
        <f t="shared" ref="H23" si="6">ROUND(G23/G$19, 3)</f>
        <v>0.34599999999999997</v>
      </c>
      <c r="I23" s="31">
        <f>SUM(I20:I22)+I22</f>
        <v>55620000</v>
      </c>
      <c r="J23" s="30">
        <f t="shared" ref="J23" si="7">ROUND(I23/I$19, 3)</f>
        <v>0.34799999999999998</v>
      </c>
      <c r="K23" s="15"/>
      <c r="L23" s="12"/>
      <c r="M23" s="12"/>
      <c r="N23" s="12"/>
      <c r="O23" s="12"/>
      <c r="P23" s="12"/>
    </row>
    <row r="24" spans="1:16" s="13" customFormat="1" x14ac:dyDescent="0.45">
      <c r="A24" s="40" t="s">
        <v>43</v>
      </c>
      <c r="B24" s="40"/>
      <c r="C24" s="32">
        <f>C19-C23</f>
        <v>104690000</v>
      </c>
      <c r="D24" s="30">
        <f t="shared" si="0"/>
        <v>0.65400000000000003</v>
      </c>
      <c r="E24" s="32">
        <f t="shared" ref="E24:I24" si="8">E19-E23</f>
        <v>104690000</v>
      </c>
      <c r="F24" s="30">
        <f t="shared" si="0"/>
        <v>0.65400000000000003</v>
      </c>
      <c r="G24" s="32">
        <f t="shared" si="8"/>
        <v>104690000</v>
      </c>
      <c r="H24" s="30">
        <f t="shared" ref="H24" si="9">ROUND(G24/G$19, 3)</f>
        <v>0.65400000000000003</v>
      </c>
      <c r="I24" s="32">
        <f t="shared" si="8"/>
        <v>104380000</v>
      </c>
      <c r="J24" s="30">
        <f t="shared" ref="J24" si="10">ROUND(I24/I$19, 3)</f>
        <v>0.65200000000000002</v>
      </c>
      <c r="K24" s="15"/>
      <c r="L24" s="12"/>
      <c r="M24" s="12"/>
      <c r="N24" s="12"/>
      <c r="O24" s="12"/>
      <c r="P24" s="12"/>
    </row>
    <row r="25" spans="1:16" s="13" customFormat="1" ht="15.6" thickBot="1" x14ac:dyDescent="0.5">
      <c r="A25" s="28"/>
      <c r="B25" s="29" t="s">
        <v>87</v>
      </c>
      <c r="C25" s="8">
        <v>18346000</v>
      </c>
      <c r="D25" s="30">
        <f t="shared" si="0"/>
        <v>0.115</v>
      </c>
      <c r="E25" s="8">
        <v>18346000</v>
      </c>
      <c r="F25" s="30">
        <f t="shared" si="0"/>
        <v>0.115</v>
      </c>
      <c r="G25" s="8">
        <v>18346000</v>
      </c>
      <c r="H25" s="30">
        <f t="shared" ref="H25" si="11">ROUND(G25/G$19, 3)</f>
        <v>0.115</v>
      </c>
      <c r="I25" s="8">
        <v>18346000</v>
      </c>
      <c r="J25" s="30">
        <f t="shared" ref="J25" si="12">ROUND(I25/I$19, 3)</f>
        <v>0.115</v>
      </c>
      <c r="K25" s="15"/>
      <c r="L25" s="12"/>
      <c r="M25" s="12"/>
      <c r="N25" s="12"/>
      <c r="O25" s="12"/>
      <c r="P25" s="12"/>
    </row>
    <row r="26" spans="1:16" s="13" customFormat="1" ht="15.6" thickBot="1" x14ac:dyDescent="0.5">
      <c r="A26" s="28"/>
      <c r="B26" s="29" t="s">
        <v>44</v>
      </c>
      <c r="C26" s="33">
        <f>C24-C25</f>
        <v>86344000</v>
      </c>
      <c r="D26" s="30">
        <f t="shared" si="0"/>
        <v>0.54</v>
      </c>
      <c r="E26" s="33">
        <f t="shared" ref="E26:I26" si="13">E24-E25</f>
        <v>86344000</v>
      </c>
      <c r="F26" s="30">
        <f t="shared" si="0"/>
        <v>0.54</v>
      </c>
      <c r="G26" s="33">
        <f t="shared" si="13"/>
        <v>86344000</v>
      </c>
      <c r="H26" s="30">
        <f t="shared" ref="H26" si="14">ROUND(G26/G$19, 3)</f>
        <v>0.54</v>
      </c>
      <c r="I26" s="33">
        <f t="shared" si="13"/>
        <v>86034000</v>
      </c>
      <c r="J26" s="30">
        <f t="shared" ref="J26" si="15">ROUND(I26/I$19, 3)</f>
        <v>0.53800000000000003</v>
      </c>
      <c r="K26" s="15"/>
      <c r="L26" s="12"/>
      <c r="M26" s="12"/>
      <c r="N26" s="12"/>
      <c r="O26" s="12"/>
      <c r="P26" s="12"/>
    </row>
    <row r="27" spans="1:16" s="13" customFormat="1" ht="15.6" thickBot="1" x14ac:dyDescent="0.5">
      <c r="A27" s="28"/>
      <c r="B27" s="29" t="s">
        <v>88</v>
      </c>
      <c r="C27" s="8">
        <v>15725000</v>
      </c>
      <c r="D27" s="30">
        <f t="shared" si="0"/>
        <v>9.8000000000000004E-2</v>
      </c>
      <c r="E27" s="8">
        <v>15472215</v>
      </c>
      <c r="F27" s="30">
        <f t="shared" si="0"/>
        <v>9.7000000000000003E-2</v>
      </c>
      <c r="G27" s="8">
        <v>15472215</v>
      </c>
      <c r="H27" s="30">
        <f t="shared" ref="H27" si="16">ROUND(G27/G$19, 3)</f>
        <v>9.7000000000000003E-2</v>
      </c>
      <c r="I27" s="8">
        <v>15472215</v>
      </c>
      <c r="J27" s="30">
        <f t="shared" ref="J27" si="17">ROUND(I27/I$19, 3)</f>
        <v>9.7000000000000003E-2</v>
      </c>
      <c r="K27" s="15"/>
      <c r="L27" s="12"/>
      <c r="M27" s="12"/>
      <c r="N27" s="12"/>
      <c r="O27" s="12"/>
      <c r="P27" s="12"/>
    </row>
    <row r="28" spans="1:16" s="13" customFormat="1" ht="15.6" thickBot="1" x14ac:dyDescent="0.5">
      <c r="A28" s="28"/>
      <c r="B28" s="29" t="s">
        <v>45</v>
      </c>
      <c r="C28" s="34">
        <f>C26-C27</f>
        <v>70619000</v>
      </c>
      <c r="D28" s="30">
        <f t="shared" si="0"/>
        <v>0.441</v>
      </c>
      <c r="E28" s="34">
        <f t="shared" ref="E28:I28" si="18">E26-E27</f>
        <v>70871785</v>
      </c>
      <c r="F28" s="30">
        <f t="shared" si="0"/>
        <v>0.443</v>
      </c>
      <c r="G28" s="34">
        <f t="shared" si="18"/>
        <v>70871785</v>
      </c>
      <c r="H28" s="30">
        <f t="shared" ref="H28" si="19">ROUND(G28/G$19, 3)</f>
        <v>0.443</v>
      </c>
      <c r="I28" s="34">
        <f t="shared" si="18"/>
        <v>70561785</v>
      </c>
      <c r="J28" s="30">
        <f t="shared" ref="J28" si="20">ROUND(I28/I$19, 3)</f>
        <v>0.441</v>
      </c>
      <c r="K28" s="15"/>
      <c r="L28" s="12"/>
      <c r="M28" s="12"/>
      <c r="N28" s="12"/>
      <c r="O28" s="12"/>
      <c r="P28" s="12"/>
    </row>
    <row r="29" spans="1:16" s="13" customFormat="1" x14ac:dyDescent="0.4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2"/>
      <c r="M29" s="12"/>
      <c r="N29" s="12"/>
      <c r="O29" s="12"/>
      <c r="P29" s="12"/>
    </row>
    <row r="30" spans="1:16" s="13" customFormat="1" x14ac:dyDescent="0.45">
      <c r="A30" s="15" t="s">
        <v>24</v>
      </c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2"/>
      <c r="M30" s="12"/>
      <c r="N30" s="12"/>
      <c r="O30" s="12"/>
      <c r="P30" s="12"/>
    </row>
    <row r="31" spans="1:16" s="13" customFormat="1" x14ac:dyDescent="0.4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2"/>
      <c r="M31" s="12"/>
      <c r="N31" s="12"/>
      <c r="O31" s="12"/>
      <c r="P31" s="12"/>
    </row>
  </sheetData>
  <sheetProtection algorithmName="SHA-512" hashValue="welZCLcvmOFW/W18MrOd1Irakgm4pWglo6c8tZ3plN/tItaA8wCOLGy8UBt931kpWrRDeusaC3RQYnR2P8BnlQ==" saltValue="Fx3Bap3Bp5kzAcDthndaPg==" spinCount="100000" sheet="1" objects="1" scenarios="1"/>
  <mergeCells count="10">
    <mergeCell ref="J1:K1"/>
    <mergeCell ref="A24:B24"/>
    <mergeCell ref="A18:B18"/>
    <mergeCell ref="A19:B19"/>
    <mergeCell ref="A23:B23"/>
    <mergeCell ref="B5:D5"/>
    <mergeCell ref="B7:D7"/>
    <mergeCell ref="B8:D8"/>
    <mergeCell ref="B9:D9"/>
    <mergeCell ref="B10:D10"/>
  </mergeCells>
  <phoneticPr fontId="18"/>
  <conditionalFormatting sqref="H10">
    <cfRule type="cellIs" dxfId="4" priority="6" operator="equal">
      <formula>"見つかりません"</formula>
    </cfRule>
  </conditionalFormatting>
  <conditionalFormatting sqref="H12">
    <cfRule type="cellIs" dxfId="3" priority="4" operator="equal">
      <formula>"見つかりません"</formula>
    </cfRule>
  </conditionalFormatting>
  <conditionalFormatting sqref="J10">
    <cfRule type="cellIs" dxfId="2" priority="3" operator="equal">
      <formula>"見つかりません"</formula>
    </cfRule>
  </conditionalFormatting>
  <conditionalFormatting sqref="J12">
    <cfRule type="cellIs" dxfId="1" priority="2" operator="equal">
      <formula>"見つかりません"</formula>
    </cfRule>
  </conditionalFormatting>
  <conditionalFormatting sqref="C19:J27 C28:D28 F28:J28">
    <cfRule type="cellIs" dxfId="0" priority="1" operator="lessThan">
      <formula>0</formula>
    </cfRule>
  </conditionalFormatting>
  <dataValidations count="1">
    <dataValidation type="list" allowBlank="1" showInputMessage="1" showErrorMessage="1" sqref="B13" xr:uid="{00000000-0002-0000-0000-000000000000}">
      <formula1>"未選択,全体,部分"</formula1>
    </dataValidation>
  </dataValidations>
  <pageMargins left="0.75" right="0.75" top="1" bottom="1" header="0.5" footer="0.5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ボタン1_Click">
                <anchor moveWithCells="1" sizeWithCells="1">
                  <from>
                    <xdr:col>7</xdr:col>
                    <xdr:colOff>45720</xdr:colOff>
                    <xdr:row>15</xdr:row>
                    <xdr:rowOff>60960</xdr:rowOff>
                  </from>
                  <to>
                    <xdr:col>7</xdr:col>
                    <xdr:colOff>1371600</xdr:colOff>
                    <xdr:row>15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2_Click">
                <anchor moveWithCells="1" sizeWithCells="1">
                  <from>
                    <xdr:col>1</xdr:col>
                    <xdr:colOff>152400</xdr:colOff>
                    <xdr:row>0</xdr:row>
                    <xdr:rowOff>45720</xdr:rowOff>
                  </from>
                  <to>
                    <xdr:col>1</xdr:col>
                    <xdr:colOff>1234440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"/>
  <sheetViews>
    <sheetView workbookViewId="0"/>
  </sheetViews>
  <sheetFormatPr defaultColWidth="8.69921875" defaultRowHeight="15" x14ac:dyDescent="0.45"/>
  <cols>
    <col min="1" max="1" width="8.69921875" style="1"/>
    <col min="2" max="2" width="8.69921875" style="2"/>
    <col min="3" max="3" width="8.69921875" style="3"/>
    <col min="4" max="4" width="8.69921875" style="2"/>
    <col min="5" max="5" width="12.796875" style="3" bestFit="1" customWidth="1"/>
    <col min="6" max="16384" width="8.69921875" style="3"/>
  </cols>
  <sheetData>
    <row r="1" spans="1:5" x14ac:dyDescent="0.45">
      <c r="A1" s="1" t="s">
        <v>46</v>
      </c>
      <c r="B1" s="2" t="s">
        <v>32</v>
      </c>
      <c r="D1" s="1" t="s">
        <v>70</v>
      </c>
      <c r="E1" s="4" t="s">
        <v>55</v>
      </c>
    </row>
    <row r="2" spans="1:5" x14ac:dyDescent="0.45">
      <c r="A2" s="1" t="s">
        <v>47</v>
      </c>
      <c r="B2" s="2" t="s">
        <v>33</v>
      </c>
      <c r="D2" s="1" t="s">
        <v>71</v>
      </c>
      <c r="E2" s="4" t="s">
        <v>25</v>
      </c>
    </row>
    <row r="3" spans="1:5" x14ac:dyDescent="0.45">
      <c r="A3" s="1" t="s">
        <v>48</v>
      </c>
      <c r="B3" s="2" t="s">
        <v>36</v>
      </c>
      <c r="D3" s="1" t="s">
        <v>72</v>
      </c>
      <c r="E3" s="4" t="s">
        <v>56</v>
      </c>
    </row>
    <row r="4" spans="1:5" x14ac:dyDescent="0.45">
      <c r="A4" s="1" t="s">
        <v>49</v>
      </c>
      <c r="B4" s="2" t="s">
        <v>37</v>
      </c>
      <c r="D4" s="1" t="s">
        <v>73</v>
      </c>
      <c r="E4" s="4" t="s">
        <v>57</v>
      </c>
    </row>
    <row r="5" spans="1:5" x14ac:dyDescent="0.45">
      <c r="A5" s="1" t="s">
        <v>50</v>
      </c>
      <c r="B5" s="2" t="s">
        <v>38</v>
      </c>
      <c r="D5" s="1" t="s">
        <v>74</v>
      </c>
      <c r="E5" s="4" t="s">
        <v>58</v>
      </c>
    </row>
    <row r="6" spans="1:5" x14ac:dyDescent="0.45">
      <c r="A6" s="1" t="s">
        <v>51</v>
      </c>
      <c r="B6" s="2" t="s">
        <v>39</v>
      </c>
      <c r="D6" s="1" t="s">
        <v>75</v>
      </c>
      <c r="E6" s="4" t="s">
        <v>59</v>
      </c>
    </row>
    <row r="7" spans="1:5" x14ac:dyDescent="0.45">
      <c r="A7" s="1" t="s">
        <v>52</v>
      </c>
      <c r="B7" s="2" t="s">
        <v>34</v>
      </c>
      <c r="D7" s="1" t="s">
        <v>76</v>
      </c>
      <c r="E7" s="4" t="s">
        <v>60</v>
      </c>
    </row>
    <row r="8" spans="1:5" x14ac:dyDescent="0.45">
      <c r="A8" s="1" t="s">
        <v>53</v>
      </c>
      <c r="B8" s="2" t="s">
        <v>35</v>
      </c>
      <c r="D8" s="1" t="s">
        <v>77</v>
      </c>
      <c r="E8" s="4" t="s">
        <v>61</v>
      </c>
    </row>
    <row r="9" spans="1:5" x14ac:dyDescent="0.45">
      <c r="A9" s="1" t="s">
        <v>31</v>
      </c>
      <c r="B9" s="2" t="s">
        <v>40</v>
      </c>
      <c r="D9" s="1" t="s">
        <v>78</v>
      </c>
      <c r="E9" s="4" t="s">
        <v>62</v>
      </c>
    </row>
    <row r="10" spans="1:5" x14ac:dyDescent="0.45">
      <c r="A10" s="1" t="s">
        <v>54</v>
      </c>
      <c r="B10" s="2" t="s">
        <v>41</v>
      </c>
      <c r="D10" s="1" t="s">
        <v>79</v>
      </c>
      <c r="E10" s="4" t="s">
        <v>63</v>
      </c>
    </row>
    <row r="11" spans="1:5" x14ac:dyDescent="0.45">
      <c r="D11" s="1" t="s">
        <v>80</v>
      </c>
      <c r="E11" s="4" t="s">
        <v>64</v>
      </c>
    </row>
    <row r="12" spans="1:5" x14ac:dyDescent="0.45">
      <c r="D12" s="1" t="s">
        <v>81</v>
      </c>
      <c r="E12" s="4" t="s">
        <v>65</v>
      </c>
    </row>
  </sheetData>
  <sheetProtection algorithmName="SHA-512" hashValue="+6MJZP/KptOXkjFbu+4Xj94tLYVc5/msuBjSzm98oCYYisoy1y4cWXTKg0lrPGjjJLSvuddqmdIpR+OJbZ+f9Q==" saltValue="t72crn9eltFl33Z7FTB2Kg==" spinCount="100000" sheet="1" objects="1" scenarios="1"/>
  <phoneticPr fontId="18"/>
  <pageMargins left="0.7" right="0.7" top="0.75" bottom="0.75" header="0.3" footer="0.3"/>
  <pageSetup paperSize="9"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B9ADB5F56E0B14399461031CAD22B0C" ma:contentTypeVersion="10" ma:contentTypeDescription="新しいドキュメントを作成します。" ma:contentTypeScope="" ma:versionID="844d6dc57d0fd5a4afcc6a426549d96b">
  <xsd:schema xmlns:xsd="http://www.w3.org/2001/XMLSchema" xmlns:xs="http://www.w3.org/2001/XMLSchema" xmlns:p="http://schemas.microsoft.com/office/2006/metadata/properties" xmlns:ns2="ff570c2c-b781-4c47-82db-009496537956" xmlns:ns3="30518c23-470c-40b4-a3fb-3bd6e7fbc73e" targetNamespace="http://schemas.microsoft.com/office/2006/metadata/properties" ma:root="true" ma:fieldsID="51c522cfb06c8a0e6b9124e3eda504c3" ns2:_="" ns3:_="">
    <xsd:import namespace="ff570c2c-b781-4c47-82db-009496537956"/>
    <xsd:import namespace="30518c23-470c-40b4-a3fb-3bd6e7fbc73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70c2c-b781-4c47-82db-0094965379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518c23-470c-40b4-a3fb-3bd6e7fbc73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4EC372-01C5-43C8-B48E-737F6B20320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179FF8D-EC9C-44C4-9F08-E365283BFE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570c2c-b781-4c47-82db-009496537956"/>
    <ds:schemaRef ds:uri="30518c23-470c-40b4-a3fb-3bd6e7fbc73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0FF21A-F0C7-4FE9-A6CD-9102574ED8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設計積算｜社内研修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設計概算｜社内研修</dc:title>
  <dc:creator>櫻井 寿乃</dc:creator>
  <cp:lastModifiedBy>ekimae2025_8</cp:lastModifiedBy>
  <dcterms:created xsi:type="dcterms:W3CDTF">2020-10-16T06:30:41Z</dcterms:created>
  <dcterms:modified xsi:type="dcterms:W3CDTF">2025-12-23T06:00:53Z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0x0101000B9ADB5F56E0B14399461031CAD22B0C</vt:lpwstr>
  </property>
</Properties>
</file>